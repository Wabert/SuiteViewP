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ab7y02\Dev\SuiteViewP\docs\Illustration_UL\"/>
    </mc:Choice>
  </mc:AlternateContent>
  <xr:revisionPtr revIDLastSave="0" documentId="13_ncr:1_{AA72B140-505B-442C-9D06-AA23B8D6EC19}" xr6:coauthVersionLast="47" xr6:coauthVersionMax="47" xr10:uidLastSave="{00000000-0000-0000-0000-000000000000}"/>
  <bookViews>
    <workbookView xWindow="14295" yWindow="0" windowWidth="14610" windowHeight="14955" xr2:uid="{00000000-000D-0000-FFFF-FFFF00000000}"/>
  </bookViews>
  <sheets>
    <sheet name="TestCases" sheetId="1" r:id="rId1"/>
    <sheet name="Sheet1" sheetId="5" r:id="rId2"/>
  </sheets>
  <definedNames>
    <definedName name="_xlnm._FilterDatabase" localSheetId="0" hidden="1">TestCases!$A$1:$Q$677</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77" i="1" l="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alcChain>
</file>

<file path=xl/sharedStrings.xml><?xml version="1.0" encoding="utf-8"?>
<sst xmlns="http://schemas.openxmlformats.org/spreadsheetml/2006/main" count="2870" uniqueCount="823">
  <si>
    <t>Policy</t>
  </si>
  <si>
    <t>Plancode</t>
  </si>
  <si>
    <t>Form</t>
  </si>
  <si>
    <t>Plancodes for Riders and Benefits</t>
  </si>
  <si>
    <t xml:space="preserve">11735126  </t>
  </si>
  <si>
    <t xml:space="preserve">08228000   </t>
  </si>
  <si>
    <t xml:space="preserve">SPL87    </t>
  </si>
  <si>
    <t xml:space="preserve">11852655  </t>
  </si>
  <si>
    <t xml:space="preserve">12092662  </t>
  </si>
  <si>
    <t xml:space="preserve">12107326  </t>
  </si>
  <si>
    <t xml:space="preserve">08228200   </t>
  </si>
  <si>
    <t xml:space="preserve">12182601  </t>
  </si>
  <si>
    <t xml:space="preserve">12326282  </t>
  </si>
  <si>
    <t xml:space="preserve">12484526  </t>
  </si>
  <si>
    <t xml:space="preserve">08228300   </t>
  </si>
  <si>
    <t xml:space="preserve">12603476  </t>
  </si>
  <si>
    <t xml:space="preserve">12603477  </t>
  </si>
  <si>
    <t xml:space="preserve">12606949  </t>
  </si>
  <si>
    <t xml:space="preserve">12607490  </t>
  </si>
  <si>
    <t xml:space="preserve">12607493  </t>
  </si>
  <si>
    <t xml:space="preserve">12611742  </t>
  </si>
  <si>
    <t xml:space="preserve">12628725  </t>
  </si>
  <si>
    <t xml:space="preserve">12635670  </t>
  </si>
  <si>
    <t xml:space="preserve">12644626  </t>
  </si>
  <si>
    <t xml:space="preserve">12663253  </t>
  </si>
  <si>
    <t xml:space="preserve">12667713  </t>
  </si>
  <si>
    <t xml:space="preserve">12668060  </t>
  </si>
  <si>
    <t xml:space="preserve">12668321  </t>
  </si>
  <si>
    <t xml:space="preserve">12670066  </t>
  </si>
  <si>
    <t xml:space="preserve">12680346  </t>
  </si>
  <si>
    <t xml:space="preserve">12680902  </t>
  </si>
  <si>
    <t xml:space="preserve">12681257  </t>
  </si>
  <si>
    <t xml:space="preserve">12682707  </t>
  </si>
  <si>
    <t xml:space="preserve">12684434  </t>
  </si>
  <si>
    <t xml:space="preserve">12696650  </t>
  </si>
  <si>
    <t xml:space="preserve">12702679  </t>
  </si>
  <si>
    <t xml:space="preserve">12889268  </t>
  </si>
  <si>
    <t xml:space="preserve">12891726  </t>
  </si>
  <si>
    <t xml:space="preserve">08228100   </t>
  </si>
  <si>
    <t xml:space="preserve">12900826  </t>
  </si>
  <si>
    <t xml:space="preserve">12952693  </t>
  </si>
  <si>
    <t xml:space="preserve">13019267  </t>
  </si>
  <si>
    <t xml:space="preserve">13019268  </t>
  </si>
  <si>
    <t xml:space="preserve">13049826  </t>
  </si>
  <si>
    <t xml:space="preserve">13052693  </t>
  </si>
  <si>
    <t xml:space="preserve">13260632  </t>
  </si>
  <si>
    <t xml:space="preserve">13378265  </t>
  </si>
  <si>
    <t xml:space="preserve">S2600113  </t>
  </si>
  <si>
    <t xml:space="preserve">1S133A29   </t>
  </si>
  <si>
    <t>UL-100 (4</t>
  </si>
  <si>
    <t xml:space="preserve">S4601326  </t>
  </si>
  <si>
    <t xml:space="preserve">1S133B2X   </t>
  </si>
  <si>
    <t xml:space="preserve">U0104267  </t>
  </si>
  <si>
    <t xml:space="preserve">1U131300   </t>
  </si>
  <si>
    <t xml:space="preserve">FUL86    </t>
  </si>
  <si>
    <t>1U538C00</t>
  </si>
  <si>
    <t xml:space="preserve">U0112626  </t>
  </si>
  <si>
    <t xml:space="preserve">U0122625  </t>
  </si>
  <si>
    <t xml:space="preserve">1U133300   </t>
  </si>
  <si>
    <t xml:space="preserve">U0126752  </t>
  </si>
  <si>
    <t xml:space="preserve">U0152649  </t>
  </si>
  <si>
    <t xml:space="preserve">1U132100   </t>
  </si>
  <si>
    <t xml:space="preserve">AUL86    </t>
  </si>
  <si>
    <t xml:space="preserve">U0280526  </t>
  </si>
  <si>
    <t xml:space="preserve">1U133100   </t>
  </si>
  <si>
    <t xml:space="preserve">U0309264  </t>
  </si>
  <si>
    <t xml:space="preserve">1U135100   </t>
  </si>
  <si>
    <t xml:space="preserve">UAL93    </t>
  </si>
  <si>
    <t xml:space="preserve">U0322678  </t>
  </si>
  <si>
    <t xml:space="preserve">1U135000   </t>
  </si>
  <si>
    <t xml:space="preserve">CUL93    </t>
  </si>
  <si>
    <t>1U538F00, 1U534L00, 39</t>
  </si>
  <si>
    <t xml:space="preserve">U0326048  </t>
  </si>
  <si>
    <t>39</t>
  </si>
  <si>
    <t xml:space="preserve">U0326266  </t>
  </si>
  <si>
    <t xml:space="preserve">U0326383  </t>
  </si>
  <si>
    <t xml:space="preserve">U0326415  </t>
  </si>
  <si>
    <t xml:space="preserve">U0326462  </t>
  </si>
  <si>
    <t xml:space="preserve">U0351263  </t>
  </si>
  <si>
    <t xml:space="preserve">U0359266  </t>
  </si>
  <si>
    <t xml:space="preserve">1U135D00   </t>
  </si>
  <si>
    <t xml:space="preserve">UL96     </t>
  </si>
  <si>
    <t>1U538F00</t>
  </si>
  <si>
    <t xml:space="preserve">U0361263  </t>
  </si>
  <si>
    <t xml:space="preserve">U0362261  </t>
  </si>
  <si>
    <t xml:space="preserve">U0370263  </t>
  </si>
  <si>
    <t xml:space="preserve">U0370267  </t>
  </si>
  <si>
    <t xml:space="preserve">U0374266  </t>
  </si>
  <si>
    <t xml:space="preserve">U0375726  </t>
  </si>
  <si>
    <t xml:space="preserve">U0385264  </t>
  </si>
  <si>
    <t xml:space="preserve">U0386262  </t>
  </si>
  <si>
    <t xml:space="preserve">UL011262  </t>
  </si>
  <si>
    <t xml:space="preserve">1U130M29   </t>
  </si>
  <si>
    <t xml:space="preserve">FPL83    </t>
  </si>
  <si>
    <t>1U538229</t>
  </si>
  <si>
    <t xml:space="preserve">UL016265  </t>
  </si>
  <si>
    <t xml:space="preserve">UL026178  </t>
  </si>
  <si>
    <t xml:space="preserve">UL026201  </t>
  </si>
  <si>
    <t xml:space="preserve">UL026353  </t>
  </si>
  <si>
    <t xml:space="preserve">UL048266  </t>
  </si>
  <si>
    <t xml:space="preserve">1U130N2X   </t>
  </si>
  <si>
    <t xml:space="preserve">UL062611  </t>
  </si>
  <si>
    <t>1U538Z0X</t>
  </si>
  <si>
    <t xml:space="preserve">UL082026  </t>
  </si>
  <si>
    <t xml:space="preserve">1U130929   </t>
  </si>
  <si>
    <t xml:space="preserve">AUL85    </t>
  </si>
  <si>
    <t>Date EAV is negative</t>
  </si>
  <si>
    <t>EAV</t>
  </si>
  <si>
    <t>RERUN Term date</t>
  </si>
  <si>
    <t>RERUN EAV</t>
  </si>
  <si>
    <t>Date dif</t>
  </si>
  <si>
    <t>EAV ratio</t>
  </si>
  <si>
    <t>Pass (EAV &lt; 1% dif)</t>
  </si>
  <si>
    <t>Notes</t>
  </si>
  <si>
    <t xml:space="preserve">S0502616  </t>
  </si>
  <si>
    <t xml:space="preserve">1S135M0X   </t>
  </si>
  <si>
    <t xml:space="preserve">UL58100  </t>
  </si>
  <si>
    <t>Pass - 6/17/2026</t>
  </si>
  <si>
    <t xml:space="preserve">S0502617  </t>
  </si>
  <si>
    <t>12</t>
  </si>
  <si>
    <t xml:space="preserve">S0502663  </t>
  </si>
  <si>
    <t xml:space="preserve">S0502673  </t>
  </si>
  <si>
    <t xml:space="preserve">S0502674  </t>
  </si>
  <si>
    <t xml:space="preserve">S0503261  </t>
  </si>
  <si>
    <t xml:space="preserve">S0504026  </t>
  </si>
  <si>
    <t xml:space="preserve">S0505126  </t>
  </si>
  <si>
    <t>1S532B62, 1S535362</t>
  </si>
  <si>
    <t xml:space="preserve">S0508126  </t>
  </si>
  <si>
    <t xml:space="preserve">S1342633  </t>
  </si>
  <si>
    <t xml:space="preserve">1S133K29   </t>
  </si>
  <si>
    <t>ASL1025 A</t>
  </si>
  <si>
    <t>1S533990</t>
  </si>
  <si>
    <t xml:space="preserve">S1343267  </t>
  </si>
  <si>
    <t xml:space="preserve">S1343626  </t>
  </si>
  <si>
    <t xml:space="preserve">S1352611  </t>
  </si>
  <si>
    <t>1S532Y00, 1S533990, 12</t>
  </si>
  <si>
    <t xml:space="preserve">S1352664  </t>
  </si>
  <si>
    <t>14, 36</t>
  </si>
  <si>
    <t xml:space="preserve">S1357226  </t>
  </si>
  <si>
    <t xml:space="preserve">1S134D00   </t>
  </si>
  <si>
    <t>ASLP85-AL</t>
  </si>
  <si>
    <t xml:space="preserve">S1357266  </t>
  </si>
  <si>
    <t xml:space="preserve">S1359266  </t>
  </si>
  <si>
    <t>1S532Y00</t>
  </si>
  <si>
    <t xml:space="preserve">S1361266  </t>
  </si>
  <si>
    <t xml:space="preserve">S1362606  </t>
  </si>
  <si>
    <t xml:space="preserve">1S135A00   </t>
  </si>
  <si>
    <t>ASLP2-ALI</t>
  </si>
  <si>
    <t>1S534700</t>
  </si>
  <si>
    <t xml:space="preserve">S1362623  </t>
  </si>
  <si>
    <t xml:space="preserve">1S134A00   </t>
  </si>
  <si>
    <t>ASL1100 A</t>
  </si>
  <si>
    <t xml:space="preserve">S1362689  </t>
  </si>
  <si>
    <t xml:space="preserve">S1365126  </t>
  </si>
  <si>
    <t xml:space="preserve">S1366262  </t>
  </si>
  <si>
    <t xml:space="preserve">S1366526  </t>
  </si>
  <si>
    <t xml:space="preserve">S1367269  </t>
  </si>
  <si>
    <t xml:space="preserve">S1368266  </t>
  </si>
  <si>
    <t>1S532Y00, 1S534700</t>
  </si>
  <si>
    <t xml:space="preserve">S1370262  </t>
  </si>
  <si>
    <t>1S532Y00, 1S534700, 32</t>
  </si>
  <si>
    <t>Pass - 6/19/2026</t>
  </si>
  <si>
    <t>SuiteView correct, RERUN using wrong rider rates</t>
  </si>
  <si>
    <t xml:space="preserve">S1376264  </t>
  </si>
  <si>
    <t xml:space="preserve">S1378526  </t>
  </si>
  <si>
    <t xml:space="preserve">S1378626  </t>
  </si>
  <si>
    <t xml:space="preserve">S1379265  </t>
  </si>
  <si>
    <t xml:space="preserve">S1379269  </t>
  </si>
  <si>
    <t xml:space="preserve">1S135C00   </t>
  </si>
  <si>
    <t>ASLP3-ALI</t>
  </si>
  <si>
    <t>pass - 6/18/2026</t>
  </si>
  <si>
    <t xml:space="preserve">S2600193  </t>
  </si>
  <si>
    <t xml:space="preserve">S2600217  </t>
  </si>
  <si>
    <t xml:space="preserve">S2600235  </t>
  </si>
  <si>
    <t xml:space="preserve">S2600300  </t>
  </si>
  <si>
    <t xml:space="preserve">S3601026  </t>
  </si>
  <si>
    <t xml:space="preserve">S4600126  </t>
  </si>
  <si>
    <t xml:space="preserve">S4600626  </t>
  </si>
  <si>
    <t xml:space="preserve">S5600726  </t>
  </si>
  <si>
    <t xml:space="preserve">S5601226  </t>
  </si>
  <si>
    <t xml:space="preserve">S7600726  </t>
  </si>
  <si>
    <t xml:space="preserve">1S133229   </t>
  </si>
  <si>
    <t>UL-203(9-</t>
  </si>
  <si>
    <t xml:space="preserve">UL002631  </t>
  </si>
  <si>
    <t xml:space="preserve">UL004262  </t>
  </si>
  <si>
    <t>1U538229, 1U538329</t>
  </si>
  <si>
    <t xml:space="preserve">UL004263  </t>
  </si>
  <si>
    <t xml:space="preserve">UL008426  </t>
  </si>
  <si>
    <t>32</t>
  </si>
  <si>
    <t xml:space="preserve">UL008526  </t>
  </si>
  <si>
    <t xml:space="preserve">UL011326  </t>
  </si>
  <si>
    <t xml:space="preserve">UL012262  </t>
  </si>
  <si>
    <t xml:space="preserve">UL012263  </t>
  </si>
  <si>
    <t xml:space="preserve">UL012632  </t>
  </si>
  <si>
    <t xml:space="preserve">UL012638  </t>
  </si>
  <si>
    <t xml:space="preserve">UL012643  </t>
  </si>
  <si>
    <t>1U538229, 11</t>
  </si>
  <si>
    <t xml:space="preserve">UL012644  </t>
  </si>
  <si>
    <t>11</t>
  </si>
  <si>
    <t xml:space="preserve">UL012654  </t>
  </si>
  <si>
    <t xml:space="preserve">UL012695  </t>
  </si>
  <si>
    <t xml:space="preserve">UL016026  </t>
  </si>
  <si>
    <t xml:space="preserve">UL017260  </t>
  </si>
  <si>
    <t xml:space="preserve">UL022615  </t>
  </si>
  <si>
    <t xml:space="preserve">UL022670  </t>
  </si>
  <si>
    <t xml:space="preserve">UL022679  </t>
  </si>
  <si>
    <t xml:space="preserve">UL022680  </t>
  </si>
  <si>
    <t xml:space="preserve">UL024264  </t>
  </si>
  <si>
    <t xml:space="preserve">UL025266  </t>
  </si>
  <si>
    <t xml:space="preserve">UL025267  </t>
  </si>
  <si>
    <t xml:space="preserve">UL026042  </t>
  </si>
  <si>
    <t xml:space="preserve">UL026056  </t>
  </si>
  <si>
    <t>1U538C00, 1U538329, 1U538329</t>
  </si>
  <si>
    <t xml:space="preserve">UL026071  </t>
  </si>
  <si>
    <t>Had to have suiteview normalize GLP to monthly</t>
  </si>
  <si>
    <t xml:space="preserve">UL026289  </t>
  </si>
  <si>
    <t xml:space="preserve">UL026332  </t>
  </si>
  <si>
    <t>passed - 6/19/2026</t>
  </si>
  <si>
    <t xml:space="preserve">UL026345  </t>
  </si>
  <si>
    <t xml:space="preserve">UL026372  </t>
  </si>
  <si>
    <t>CTR rider should mature on policy anniversary even if added post issue off annivesrary</t>
  </si>
  <si>
    <t xml:space="preserve">UL026420  </t>
  </si>
  <si>
    <t xml:space="preserve">UL026439  </t>
  </si>
  <si>
    <t>11, 32</t>
  </si>
  <si>
    <t xml:space="preserve">UL026440  </t>
  </si>
  <si>
    <t xml:space="preserve">UL026458  </t>
  </si>
  <si>
    <t>Greate test case!  Ratchet banding, 5 base coverages so added off anniversary and total specified amoutn &gt; 50,000 (bands 1 and 2).  SutieView matched Cbyerflife MD perfectly!  RERUN couldn't</t>
  </si>
  <si>
    <t xml:space="preserve">UL026472  </t>
  </si>
  <si>
    <t xml:space="preserve">UL026497  </t>
  </si>
  <si>
    <t xml:space="preserve">UL026505  </t>
  </si>
  <si>
    <t xml:space="preserve">UL026506  </t>
  </si>
  <si>
    <t xml:space="preserve">UL026539  </t>
  </si>
  <si>
    <t xml:space="preserve">UL026550  </t>
  </si>
  <si>
    <t xml:space="preserve">UL026554  </t>
  </si>
  <si>
    <t>36</t>
  </si>
  <si>
    <t xml:space="preserve">UL026572  </t>
  </si>
  <si>
    <t>Rounding diffs on benefit charge</t>
  </si>
  <si>
    <t xml:space="preserve">UL026616  </t>
  </si>
  <si>
    <t xml:space="preserve">UL026621  </t>
  </si>
  <si>
    <t xml:space="preserve">UL026655  </t>
  </si>
  <si>
    <t xml:space="preserve">UL026755  </t>
  </si>
  <si>
    <t xml:space="preserve">UL026845  </t>
  </si>
  <si>
    <t xml:space="preserve">UL026918  </t>
  </si>
  <si>
    <t xml:space="preserve">UL026919  </t>
  </si>
  <si>
    <t xml:space="preserve">UL027268  </t>
  </si>
  <si>
    <t xml:space="preserve">UL028526  </t>
  </si>
  <si>
    <t xml:space="preserve">UL030268  </t>
  </si>
  <si>
    <t xml:space="preserve">UL030826  </t>
  </si>
  <si>
    <t xml:space="preserve">UL032658  </t>
  </si>
  <si>
    <t xml:space="preserve">UL032672  </t>
  </si>
  <si>
    <t xml:space="preserve">UL033726  </t>
  </si>
  <si>
    <t xml:space="preserve">UL033926  </t>
  </si>
  <si>
    <t xml:space="preserve">UL034626  </t>
  </si>
  <si>
    <t xml:space="preserve">UL035826  </t>
  </si>
  <si>
    <t xml:space="preserve">UL038726  </t>
  </si>
  <si>
    <t xml:space="preserve">UL039126  </t>
  </si>
  <si>
    <t xml:space="preserve">UL042268  </t>
  </si>
  <si>
    <t xml:space="preserve">UL042269  </t>
  </si>
  <si>
    <t>11, 36</t>
  </si>
  <si>
    <t xml:space="preserve">UL042635  </t>
  </si>
  <si>
    <t xml:space="preserve">UL042675  </t>
  </si>
  <si>
    <t xml:space="preserve">UL042683  </t>
  </si>
  <si>
    <t xml:space="preserve">UL043526  </t>
  </si>
  <si>
    <t xml:space="preserve">UL044526  </t>
  </si>
  <si>
    <t xml:space="preserve">UL045726  </t>
  </si>
  <si>
    <t xml:space="preserve">UL052605  </t>
  </si>
  <si>
    <t>1U538329</t>
  </si>
  <si>
    <t xml:space="preserve">UL052643  </t>
  </si>
  <si>
    <t xml:space="preserve">UL052644  </t>
  </si>
  <si>
    <t xml:space="preserve">UL054426  </t>
  </si>
  <si>
    <t xml:space="preserve">UL058426  </t>
  </si>
  <si>
    <t xml:space="preserve">UL059726  </t>
  </si>
  <si>
    <t>SuiteView is maturing rider in the middle of the year, RERUN waits until end of year.  Was unable to find policy with off anniversray matured STR in Cyberlife to confirm.  SutieView processing is fine</t>
  </si>
  <si>
    <t xml:space="preserve">UL062612  </t>
  </si>
  <si>
    <t xml:space="preserve">UL062613  </t>
  </si>
  <si>
    <t xml:space="preserve">UL062614  </t>
  </si>
  <si>
    <t xml:space="preserve">UL062671  </t>
  </si>
  <si>
    <t xml:space="preserve">UL062682  </t>
  </si>
  <si>
    <t xml:space="preserve">UL064264  </t>
  </si>
  <si>
    <t xml:space="preserve">UL066264  </t>
  </si>
  <si>
    <t xml:space="preserve">UL067726  </t>
  </si>
  <si>
    <t xml:space="preserve">UL068266  </t>
  </si>
  <si>
    <t xml:space="preserve">UL068267  </t>
  </si>
  <si>
    <t xml:space="preserve">UL069268  </t>
  </si>
  <si>
    <t xml:space="preserve">UL069426  </t>
  </si>
  <si>
    <t xml:space="preserve">UL071263  </t>
  </si>
  <si>
    <t xml:space="preserve">UL072639  </t>
  </si>
  <si>
    <t xml:space="preserve">UL072645  </t>
  </si>
  <si>
    <t xml:space="preserve">UL072671  </t>
  </si>
  <si>
    <t xml:space="preserve">UL072673  </t>
  </si>
  <si>
    <t xml:space="preserve">UL072682  </t>
  </si>
  <si>
    <t xml:space="preserve">UL073226  </t>
  </si>
  <si>
    <t xml:space="preserve">UL075326  </t>
  </si>
  <si>
    <t xml:space="preserve">UL078926  </t>
  </si>
  <si>
    <t xml:space="preserve">UL079726  </t>
  </si>
  <si>
    <t xml:space="preserve">UL082636  </t>
  </si>
  <si>
    <t xml:space="preserve">UL082637  </t>
  </si>
  <si>
    <t xml:space="preserve">UL082691  </t>
  </si>
  <si>
    <t xml:space="preserve">UL084426  </t>
  </si>
  <si>
    <t xml:space="preserve">UL085826  </t>
  </si>
  <si>
    <t xml:space="preserve">UL086126  </t>
  </si>
  <si>
    <t xml:space="preserve">UL092600  </t>
  </si>
  <si>
    <t xml:space="preserve">UL092610  </t>
  </si>
  <si>
    <t xml:space="preserve">UL092627  </t>
  </si>
  <si>
    <t xml:space="preserve">UL092632  </t>
  </si>
  <si>
    <t xml:space="preserve">UL095260  </t>
  </si>
  <si>
    <t xml:space="preserve">1U131100   </t>
  </si>
  <si>
    <t xml:space="preserve">UL097264  </t>
  </si>
  <si>
    <t xml:space="preserve">UL097265  </t>
  </si>
  <si>
    <t xml:space="preserve">UL097266  </t>
  </si>
  <si>
    <t xml:space="preserve">UL097726  </t>
  </si>
  <si>
    <t xml:space="preserve">1U132300   </t>
  </si>
  <si>
    <t xml:space="preserve">PFUL86   </t>
  </si>
  <si>
    <t xml:space="preserve">UL098326  </t>
  </si>
  <si>
    <t xml:space="preserve">UL098726  </t>
  </si>
  <si>
    <t xml:space="preserve">U0102667  </t>
  </si>
  <si>
    <t xml:space="preserve">1U131700   </t>
  </si>
  <si>
    <t xml:space="preserve">RUL86    </t>
  </si>
  <si>
    <t xml:space="preserve">U0104226  </t>
  </si>
  <si>
    <t xml:space="preserve">U0105326  </t>
  </si>
  <si>
    <t xml:space="preserve">U0105826  </t>
  </si>
  <si>
    <t xml:space="preserve">U0107526  </t>
  </si>
  <si>
    <t xml:space="preserve">U0110261  </t>
  </si>
  <si>
    <t xml:space="preserve">U0111326  </t>
  </si>
  <si>
    <t xml:space="preserve">U0112681  </t>
  </si>
  <si>
    <t xml:space="preserve">U0113126  </t>
  </si>
  <si>
    <t xml:space="preserve">U0113262  </t>
  </si>
  <si>
    <t xml:space="preserve">U0115926  </t>
  </si>
  <si>
    <t>1U538C00, 1U538K00</t>
  </si>
  <si>
    <t xml:space="preserve">U0117126  </t>
  </si>
  <si>
    <t xml:space="preserve">U0117526  </t>
  </si>
  <si>
    <t xml:space="preserve">1U133500   </t>
  </si>
  <si>
    <t xml:space="preserve">U0120267  </t>
  </si>
  <si>
    <t xml:space="preserve">U0122611  </t>
  </si>
  <si>
    <t xml:space="preserve">U0122678  </t>
  </si>
  <si>
    <t xml:space="preserve">U0123262  </t>
  </si>
  <si>
    <t xml:space="preserve">U0126015  </t>
  </si>
  <si>
    <t xml:space="preserve">U0126069  </t>
  </si>
  <si>
    <t xml:space="preserve">U0126070  </t>
  </si>
  <si>
    <t xml:space="preserve">U0126071  </t>
  </si>
  <si>
    <t xml:space="preserve">U0126075  </t>
  </si>
  <si>
    <t xml:space="preserve">U0126148  </t>
  </si>
  <si>
    <t xml:space="preserve">U0126162  </t>
  </si>
  <si>
    <t xml:space="preserve">U0126164  </t>
  </si>
  <si>
    <t xml:space="preserve">U0126184  </t>
  </si>
  <si>
    <t xml:space="preserve">U0126209  </t>
  </si>
  <si>
    <t xml:space="preserve">U0126210  </t>
  </si>
  <si>
    <t xml:space="preserve">U0126217  </t>
  </si>
  <si>
    <t xml:space="preserve">U0126218  </t>
  </si>
  <si>
    <t>1U538C00, 11</t>
  </si>
  <si>
    <t xml:space="preserve">U0126221  </t>
  </si>
  <si>
    <t xml:space="preserve">U0126223  </t>
  </si>
  <si>
    <t xml:space="preserve">U0126323  </t>
  </si>
  <si>
    <t xml:space="preserve">U0126334  </t>
  </si>
  <si>
    <t xml:space="preserve">U0126373  </t>
  </si>
  <si>
    <t xml:space="preserve">U0126407  </t>
  </si>
  <si>
    <t xml:space="preserve">U0126428  </t>
  </si>
  <si>
    <t xml:space="preserve">U0126456  </t>
  </si>
  <si>
    <t xml:space="preserve">U0126496  </t>
  </si>
  <si>
    <t>rider/benefit rounding.  Updated SuiteView</t>
  </si>
  <si>
    <t xml:space="preserve">U0126559  </t>
  </si>
  <si>
    <t xml:space="preserve">U0126569  </t>
  </si>
  <si>
    <t xml:space="preserve">U0126612  </t>
  </si>
  <si>
    <t xml:space="preserve">U0126627  </t>
  </si>
  <si>
    <t xml:space="preserve">U0126774  </t>
  </si>
  <si>
    <t>1U538K00</t>
  </si>
  <si>
    <t xml:space="preserve">U0126794  </t>
  </si>
  <si>
    <t xml:space="preserve">U0126804  </t>
  </si>
  <si>
    <t xml:space="preserve">U0126805  </t>
  </si>
  <si>
    <t xml:space="preserve">U0126806  </t>
  </si>
  <si>
    <t xml:space="preserve">U0126812  </t>
  </si>
  <si>
    <t xml:space="preserve">U0126862  </t>
  </si>
  <si>
    <t xml:space="preserve">U0126906  </t>
  </si>
  <si>
    <t xml:space="preserve">U0126921  </t>
  </si>
  <si>
    <t xml:space="preserve">U0126922  </t>
  </si>
  <si>
    <t xml:space="preserve">U0126926  </t>
  </si>
  <si>
    <t xml:space="preserve">U0126936  </t>
  </si>
  <si>
    <t xml:space="preserve">U0126950  </t>
  </si>
  <si>
    <t xml:space="preserve">U0126981  </t>
  </si>
  <si>
    <t xml:space="preserve">U0126994  </t>
  </si>
  <si>
    <t xml:space="preserve">U0128261  </t>
  </si>
  <si>
    <t xml:space="preserve">U0128426  </t>
  </si>
  <si>
    <t xml:space="preserve">U0129626  </t>
  </si>
  <si>
    <t xml:space="preserve">U0129926  </t>
  </si>
  <si>
    <t>FPL83 with 5 covs.  SuiteView matchs CL MD</t>
  </si>
  <si>
    <t xml:space="preserve">U0132326  </t>
  </si>
  <si>
    <t xml:space="preserve">U0132634  </t>
  </si>
  <si>
    <t xml:space="preserve">U0132635  </t>
  </si>
  <si>
    <t xml:space="preserve">U0132643  </t>
  </si>
  <si>
    <t xml:space="preserve">U0132644  </t>
  </si>
  <si>
    <t xml:space="preserve">U0133226  </t>
  </si>
  <si>
    <t xml:space="preserve">U0134326  </t>
  </si>
  <si>
    <t xml:space="preserve">U0136726  </t>
  </si>
  <si>
    <t>SuiteView using TAMRA date 12/31/9999 to apply TAMRA restrictions when it shold ignore it.  This has been fixed</t>
  </si>
  <si>
    <t xml:space="preserve">U0139266  </t>
  </si>
  <si>
    <t xml:space="preserve">U0139826  </t>
  </si>
  <si>
    <t xml:space="preserve">U0140269  </t>
  </si>
  <si>
    <t xml:space="preserve">U0140526  </t>
  </si>
  <si>
    <t xml:space="preserve">U0141267  </t>
  </si>
  <si>
    <t xml:space="preserve">U0142602  </t>
  </si>
  <si>
    <t xml:space="preserve">U0142628  </t>
  </si>
  <si>
    <t xml:space="preserve">U0142666  </t>
  </si>
  <si>
    <t xml:space="preserve">U0144926  </t>
  </si>
  <si>
    <t>1U538J0X, 11, 11</t>
  </si>
  <si>
    <t xml:space="preserve">U0146226  </t>
  </si>
  <si>
    <t xml:space="preserve">U0148267  </t>
  </si>
  <si>
    <t xml:space="preserve">U0149826  </t>
  </si>
  <si>
    <t xml:space="preserve">U0151266  </t>
  </si>
  <si>
    <t xml:space="preserve">U0152663  </t>
  </si>
  <si>
    <t xml:space="preserve">U0154267  </t>
  </si>
  <si>
    <t xml:space="preserve">U0155261  </t>
  </si>
  <si>
    <t xml:space="preserve">U0155262  </t>
  </si>
  <si>
    <t xml:space="preserve">U0156826  </t>
  </si>
  <si>
    <t xml:space="preserve">U0160263  </t>
  </si>
  <si>
    <t xml:space="preserve">U0161266  </t>
  </si>
  <si>
    <t xml:space="preserve">U0162262  </t>
  </si>
  <si>
    <t xml:space="preserve">U0162263  </t>
  </si>
  <si>
    <t xml:space="preserve">U0162267  </t>
  </si>
  <si>
    <t xml:space="preserve">U0162603  </t>
  </si>
  <si>
    <t xml:space="preserve">U0162627  </t>
  </si>
  <si>
    <t xml:space="preserve">U0162676  </t>
  </si>
  <si>
    <t xml:space="preserve">U0162681  </t>
  </si>
  <si>
    <t xml:space="preserve">U0162690  </t>
  </si>
  <si>
    <t xml:space="preserve">1U133800   </t>
  </si>
  <si>
    <t xml:space="preserve">U0162691  </t>
  </si>
  <si>
    <t xml:space="preserve">U0163262  </t>
  </si>
  <si>
    <t xml:space="preserve">U0165264  </t>
  </si>
  <si>
    <t xml:space="preserve">U0169526  </t>
  </si>
  <si>
    <t xml:space="preserve">1U134200   </t>
  </si>
  <si>
    <t xml:space="preserve">UAL III  </t>
  </si>
  <si>
    <t xml:space="preserve">U0170226  </t>
  </si>
  <si>
    <t>1U538F00, 1U538L0X</t>
  </si>
  <si>
    <t xml:space="preserve">U0170626  </t>
  </si>
  <si>
    <t xml:space="preserve">U0171262  </t>
  </si>
  <si>
    <t xml:space="preserve">U0171263  </t>
  </si>
  <si>
    <t xml:space="preserve">U0172261  </t>
  </si>
  <si>
    <t xml:space="preserve">U0172616  </t>
  </si>
  <si>
    <t xml:space="preserve">U0172617  </t>
  </si>
  <si>
    <t xml:space="preserve">U0172636  </t>
  </si>
  <si>
    <t xml:space="preserve">U0172690  </t>
  </si>
  <si>
    <t xml:space="preserve">U0172693  </t>
  </si>
  <si>
    <t xml:space="preserve">U0172695  </t>
  </si>
  <si>
    <t xml:space="preserve">U0175026  </t>
  </si>
  <si>
    <t xml:space="preserve">U0278626  </t>
  </si>
  <si>
    <t xml:space="preserve">U0279261  </t>
  </si>
  <si>
    <t xml:space="preserve">U0279264  </t>
  </si>
  <si>
    <t>1U538L0X</t>
  </si>
  <si>
    <t xml:space="preserve">U0279626  </t>
  </si>
  <si>
    <t xml:space="preserve">U0282643  </t>
  </si>
  <si>
    <t xml:space="preserve">U0282644  </t>
  </si>
  <si>
    <t xml:space="preserve">U0282672  </t>
  </si>
  <si>
    <t>1U538C00, 1U538J0X</t>
  </si>
  <si>
    <t xml:space="preserve">U0282676  </t>
  </si>
  <si>
    <t xml:space="preserve">U0283226  </t>
  </si>
  <si>
    <t xml:space="preserve">U0283526  </t>
  </si>
  <si>
    <t xml:space="preserve">U0284268  </t>
  </si>
  <si>
    <t xml:space="preserve">U0284726  </t>
  </si>
  <si>
    <t xml:space="preserve">U0286263  </t>
  </si>
  <si>
    <t xml:space="preserve">U0286264  </t>
  </si>
  <si>
    <t xml:space="preserve">U0287262  </t>
  </si>
  <si>
    <t xml:space="preserve">U0287265  </t>
  </si>
  <si>
    <t xml:space="preserve">U0287266  </t>
  </si>
  <si>
    <t xml:space="preserve">U0289026  </t>
  </si>
  <si>
    <t>11, 39</t>
  </si>
  <si>
    <t xml:space="preserve">U0289226  </t>
  </si>
  <si>
    <t xml:space="preserve">U0290260  </t>
  </si>
  <si>
    <t xml:space="preserve">U0290267  </t>
  </si>
  <si>
    <t xml:space="preserve">U0292260  </t>
  </si>
  <si>
    <t xml:space="preserve">U0292600  </t>
  </si>
  <si>
    <t xml:space="preserve">U0292617  </t>
  </si>
  <si>
    <t xml:space="preserve">U0292623  </t>
  </si>
  <si>
    <t xml:space="preserve">U0292640  </t>
  </si>
  <si>
    <t xml:space="preserve">U0292661  </t>
  </si>
  <si>
    <t xml:space="preserve">U0292675  </t>
  </si>
  <si>
    <t xml:space="preserve">U0292684  </t>
  </si>
  <si>
    <t xml:space="preserve">U0293266  </t>
  </si>
  <si>
    <t xml:space="preserve">U0294262  </t>
  </si>
  <si>
    <t xml:space="preserve">U0295260  </t>
  </si>
  <si>
    <t xml:space="preserve">U0295262  </t>
  </si>
  <si>
    <t xml:space="preserve">U0296261  </t>
  </si>
  <si>
    <t xml:space="preserve">U0297926  </t>
  </si>
  <si>
    <t xml:space="preserve">U0298260  </t>
  </si>
  <si>
    <t xml:space="preserve">U0298626  </t>
  </si>
  <si>
    <t xml:space="preserve">U0299262  </t>
  </si>
  <si>
    <t xml:space="preserve">U0299263  </t>
  </si>
  <si>
    <t xml:space="preserve">U0300267  </t>
  </si>
  <si>
    <t>1U538I00</t>
  </si>
  <si>
    <t xml:space="preserve">U0301267  </t>
  </si>
  <si>
    <t xml:space="preserve">U0302262  </t>
  </si>
  <si>
    <t xml:space="preserve">U0302265  </t>
  </si>
  <si>
    <t xml:space="preserve">U0302326  </t>
  </si>
  <si>
    <t xml:space="preserve">U0302426  </t>
  </si>
  <si>
    <t xml:space="preserve">U0302615  </t>
  </si>
  <si>
    <t xml:space="preserve">U0302616  </t>
  </si>
  <si>
    <t xml:space="preserve">U0302630  </t>
  </si>
  <si>
    <t xml:space="preserve">U0302649  </t>
  </si>
  <si>
    <t xml:space="preserve">U0302650  </t>
  </si>
  <si>
    <t xml:space="preserve">U0303826  </t>
  </si>
  <si>
    <t xml:space="preserve">U0305262  </t>
  </si>
  <si>
    <t xml:space="preserve">U0306026  </t>
  </si>
  <si>
    <t xml:space="preserve">U0306126  </t>
  </si>
  <si>
    <t xml:space="preserve">U0307267  </t>
  </si>
  <si>
    <t xml:space="preserve">U0307526  </t>
  </si>
  <si>
    <t>1U538B00</t>
  </si>
  <si>
    <t xml:space="preserve">U0309261  </t>
  </si>
  <si>
    <t xml:space="preserve">U0309268  </t>
  </si>
  <si>
    <t xml:space="preserve">U0310126  </t>
  </si>
  <si>
    <t xml:space="preserve">U0310266  </t>
  </si>
  <si>
    <t xml:space="preserve">U0311261  </t>
  </si>
  <si>
    <t>1U534E00</t>
  </si>
  <si>
    <t xml:space="preserve">U0312614  </t>
  </si>
  <si>
    <t xml:space="preserve">U0312635  </t>
  </si>
  <si>
    <t>1U538I00, 1U534E00</t>
  </si>
  <si>
    <t xml:space="preserve">U0314926  </t>
  </si>
  <si>
    <t xml:space="preserve">U0315265  </t>
  </si>
  <si>
    <t xml:space="preserve">U0315526  </t>
  </si>
  <si>
    <t xml:space="preserve">U0318265  </t>
  </si>
  <si>
    <t xml:space="preserve">U0319926  </t>
  </si>
  <si>
    <t xml:space="preserve">U0321926  </t>
  </si>
  <si>
    <t xml:space="preserve">U0322607  </t>
  </si>
  <si>
    <t>1U538B00, 1U538I00</t>
  </si>
  <si>
    <t xml:space="preserve">U0322608  </t>
  </si>
  <si>
    <t xml:space="preserve">U0322624  </t>
  </si>
  <si>
    <t xml:space="preserve">U0322631  </t>
  </si>
  <si>
    <t xml:space="preserve">U0322635  </t>
  </si>
  <si>
    <t xml:space="preserve">U0322642  </t>
  </si>
  <si>
    <t xml:space="preserve">U0322650  </t>
  </si>
  <si>
    <t xml:space="preserve">U0322670  </t>
  </si>
  <si>
    <t>Suiteview matures LTR mid year (post issue rider add )  this  is fine.</t>
  </si>
  <si>
    <t xml:space="preserve">U0322691  </t>
  </si>
  <si>
    <t xml:space="preserve">U0322694  </t>
  </si>
  <si>
    <t xml:space="preserve">U0322695  </t>
  </si>
  <si>
    <t xml:space="preserve">U0323262  </t>
  </si>
  <si>
    <t xml:space="preserve">U0324726  </t>
  </si>
  <si>
    <t xml:space="preserve">U0325426  </t>
  </si>
  <si>
    <t xml:space="preserve">U0326007  </t>
  </si>
  <si>
    <t xml:space="preserve">U0326008  </t>
  </si>
  <si>
    <t xml:space="preserve">U0326026  </t>
  </si>
  <si>
    <t xml:space="preserve">U0326028  </t>
  </si>
  <si>
    <t xml:space="preserve">U0326043  </t>
  </si>
  <si>
    <t xml:space="preserve">U0326067  </t>
  </si>
  <si>
    <t xml:space="preserve">U0326091  </t>
  </si>
  <si>
    <t xml:space="preserve">U0326104  </t>
  </si>
  <si>
    <t xml:space="preserve">U0326118  </t>
  </si>
  <si>
    <t xml:space="preserve">U0326189  </t>
  </si>
  <si>
    <t xml:space="preserve">U0326193  </t>
  </si>
  <si>
    <t xml:space="preserve">U0326207  </t>
  </si>
  <si>
    <t xml:space="preserve">1U134900   </t>
  </si>
  <si>
    <t xml:space="preserve">HUL93    </t>
  </si>
  <si>
    <t xml:space="preserve">U0326233  </t>
  </si>
  <si>
    <t xml:space="preserve">U0326234  </t>
  </si>
  <si>
    <t xml:space="preserve">U0326244  </t>
  </si>
  <si>
    <t xml:space="preserve">U0326265  </t>
  </si>
  <si>
    <t xml:space="preserve">U0326270  </t>
  </si>
  <si>
    <t xml:space="preserve">U0326285  </t>
  </si>
  <si>
    <t xml:space="preserve">U0326378  </t>
  </si>
  <si>
    <t xml:space="preserve">U0326392  </t>
  </si>
  <si>
    <t xml:space="preserve">U0326403  </t>
  </si>
  <si>
    <t xml:space="preserve">U0326413  </t>
  </si>
  <si>
    <t xml:space="preserve">U0326419  </t>
  </si>
  <si>
    <t>1U538F00, 1U538I00</t>
  </si>
  <si>
    <t xml:space="preserve">U0326424  </t>
  </si>
  <si>
    <t xml:space="preserve">U0326434  </t>
  </si>
  <si>
    <t xml:space="preserve">U0326454  </t>
  </si>
  <si>
    <t>1U538F00, 1U538I00, 1U538I00</t>
  </si>
  <si>
    <t xml:space="preserve">U0326472  </t>
  </si>
  <si>
    <t xml:space="preserve">U0326498  </t>
  </si>
  <si>
    <t xml:space="preserve">U0326499  </t>
  </si>
  <si>
    <t xml:space="preserve">U0326500  </t>
  </si>
  <si>
    <t xml:space="preserve">U0326508  </t>
  </si>
  <si>
    <t xml:space="preserve">U0326511  </t>
  </si>
  <si>
    <t xml:space="preserve">U0326512  </t>
  </si>
  <si>
    <t xml:space="preserve">U0326521  </t>
  </si>
  <si>
    <t xml:space="preserve">U0326542  </t>
  </si>
  <si>
    <t xml:space="preserve">U0326591  </t>
  </si>
  <si>
    <t xml:space="preserve">U0326635  </t>
  </si>
  <si>
    <t xml:space="preserve">U0326638  </t>
  </si>
  <si>
    <t xml:space="preserve">U0326652  </t>
  </si>
  <si>
    <t xml:space="preserve">U0326654  </t>
  </si>
  <si>
    <t xml:space="preserve">U0326686  </t>
  </si>
  <si>
    <t xml:space="preserve">U0326688  </t>
  </si>
  <si>
    <t xml:space="preserve">U0326718  </t>
  </si>
  <si>
    <t xml:space="preserve">U0326745  </t>
  </si>
  <si>
    <t xml:space="preserve">U0326748  </t>
  </si>
  <si>
    <t xml:space="preserve">U0326761  </t>
  </si>
  <si>
    <t xml:space="preserve">U0326777  </t>
  </si>
  <si>
    <t xml:space="preserve">U0326780  </t>
  </si>
  <si>
    <t xml:space="preserve">U0326783  </t>
  </si>
  <si>
    <t xml:space="preserve">U0326825  </t>
  </si>
  <si>
    <t xml:space="preserve">U0326833  </t>
  </si>
  <si>
    <t xml:space="preserve">U0326836  </t>
  </si>
  <si>
    <t xml:space="preserve">U0326837  </t>
  </si>
  <si>
    <t xml:space="preserve">U0326915  </t>
  </si>
  <si>
    <t xml:space="preserve">U0326916  </t>
  </si>
  <si>
    <t xml:space="preserve">U0326934  </t>
  </si>
  <si>
    <t xml:space="preserve">U0326938  </t>
  </si>
  <si>
    <t xml:space="preserve">U0326939  </t>
  </si>
  <si>
    <t xml:space="preserve">U0326943  </t>
  </si>
  <si>
    <t xml:space="preserve">U0326958  </t>
  </si>
  <si>
    <t xml:space="preserve">U0326959  </t>
  </si>
  <si>
    <t xml:space="preserve">U0326964  </t>
  </si>
  <si>
    <t xml:space="preserve">U0326965  </t>
  </si>
  <si>
    <t xml:space="preserve">U0326973  </t>
  </si>
  <si>
    <t xml:space="preserve">U0326974  </t>
  </si>
  <si>
    <t xml:space="preserve">U0326982  </t>
  </si>
  <si>
    <t xml:space="preserve">U0326989  </t>
  </si>
  <si>
    <t xml:space="preserve">U0327267  </t>
  </si>
  <si>
    <t xml:space="preserve">U0327268  </t>
  </si>
  <si>
    <t xml:space="preserve">U0329126  </t>
  </si>
  <si>
    <t xml:space="preserve">U0330260  </t>
  </si>
  <si>
    <t xml:space="preserve">U0330261  </t>
  </si>
  <si>
    <t xml:space="preserve">U0330262  </t>
  </si>
  <si>
    <t xml:space="preserve">U0330326  </t>
  </si>
  <si>
    <t xml:space="preserve">U0331326  </t>
  </si>
  <si>
    <t xml:space="preserve">1U134500   </t>
  </si>
  <si>
    <t xml:space="preserve">SDL93    </t>
  </si>
  <si>
    <t xml:space="preserve">U0332268  </t>
  </si>
  <si>
    <t xml:space="preserve">U0332269  </t>
  </si>
  <si>
    <t>1U538F00, 1U538I00, 11</t>
  </si>
  <si>
    <t xml:space="preserve">U0332601  </t>
  </si>
  <si>
    <t xml:space="preserve">U0332604  </t>
  </si>
  <si>
    <t>70</t>
  </si>
  <si>
    <t xml:space="preserve">U0332606  </t>
  </si>
  <si>
    <t xml:space="preserve">U0332620  </t>
  </si>
  <si>
    <t xml:space="preserve">U0332621  </t>
  </si>
  <si>
    <t xml:space="preserve">U0332629  </t>
  </si>
  <si>
    <t xml:space="preserve">U0332630  </t>
  </si>
  <si>
    <t xml:space="preserve">U0332674  </t>
  </si>
  <si>
    <t xml:space="preserve">U0332678  </t>
  </si>
  <si>
    <t xml:space="preserve">U0332692  </t>
  </si>
  <si>
    <t xml:space="preserve">U0333526  </t>
  </si>
  <si>
    <t xml:space="preserve">U0334260  </t>
  </si>
  <si>
    <t xml:space="preserve">U0334262  </t>
  </si>
  <si>
    <t xml:space="preserve">U0335126  </t>
  </si>
  <si>
    <t>1U538I00, 1U534E00, 39</t>
  </si>
  <si>
    <t xml:space="preserve">U0336260  </t>
  </si>
  <si>
    <t xml:space="preserve">U0337026  </t>
  </si>
  <si>
    <t xml:space="preserve">U0337126  </t>
  </si>
  <si>
    <t xml:space="preserve">U0337267  </t>
  </si>
  <si>
    <t xml:space="preserve">U0338026  </t>
  </si>
  <si>
    <t xml:space="preserve">U0338526  </t>
  </si>
  <si>
    <t xml:space="preserve">U0340226  </t>
  </si>
  <si>
    <t xml:space="preserve">U0341261  </t>
  </si>
  <si>
    <t xml:space="preserve">U0341266  </t>
  </si>
  <si>
    <t xml:space="preserve">U0341267  </t>
  </si>
  <si>
    <t xml:space="preserve">U0342226  </t>
  </si>
  <si>
    <t>1U538I00, 39</t>
  </si>
  <si>
    <t xml:space="preserve">U0342326  </t>
  </si>
  <si>
    <t xml:space="preserve">U0342607  </t>
  </si>
  <si>
    <t xml:space="preserve">U0342612  </t>
  </si>
  <si>
    <t xml:space="preserve">U0342654  </t>
  </si>
  <si>
    <t xml:space="preserve">U0342655  </t>
  </si>
  <si>
    <t xml:space="preserve">U0342656  </t>
  </si>
  <si>
    <t xml:space="preserve">U0342671  </t>
  </si>
  <si>
    <t xml:space="preserve">U0342680  </t>
  </si>
  <si>
    <t xml:space="preserve">U0342692  </t>
  </si>
  <si>
    <t xml:space="preserve">U0342695  </t>
  </si>
  <si>
    <t xml:space="preserve">U0344261  </t>
  </si>
  <si>
    <t xml:space="preserve">U0344262  </t>
  </si>
  <si>
    <t xml:space="preserve">U0344264  </t>
  </si>
  <si>
    <t xml:space="preserve">U0344265  </t>
  </si>
  <si>
    <t xml:space="preserve">U0345265  </t>
  </si>
  <si>
    <t>1U538F00, 11</t>
  </si>
  <si>
    <t xml:space="preserve">U0345266  </t>
  </si>
  <si>
    <t xml:space="preserve">U0346126  </t>
  </si>
  <si>
    <t xml:space="preserve">U0346526  </t>
  </si>
  <si>
    <t xml:space="preserve">U0347426  </t>
  </si>
  <si>
    <t xml:space="preserve">U0348626  </t>
  </si>
  <si>
    <t xml:space="preserve">U0349261  </t>
  </si>
  <si>
    <t xml:space="preserve">U0349426  </t>
  </si>
  <si>
    <t xml:space="preserve">U0349626  </t>
  </si>
  <si>
    <t xml:space="preserve">U0350226  </t>
  </si>
  <si>
    <t xml:space="preserve">U0350926  </t>
  </si>
  <si>
    <t xml:space="preserve">U0351626  </t>
  </si>
  <si>
    <t xml:space="preserve">1U135K00   </t>
  </si>
  <si>
    <t xml:space="preserve">UL501    </t>
  </si>
  <si>
    <t xml:space="preserve">U0352426  </t>
  </si>
  <si>
    <t xml:space="preserve">U0352616  </t>
  </si>
  <si>
    <t>1U538F00, 1U538P00</t>
  </si>
  <si>
    <t xml:space="preserve">U0352631  </t>
  </si>
  <si>
    <t>1U538P00</t>
  </si>
  <si>
    <t xml:space="preserve">U0352637  </t>
  </si>
  <si>
    <t xml:space="preserve">U0352649  </t>
  </si>
  <si>
    <t xml:space="preserve">U0352651  </t>
  </si>
  <si>
    <t xml:space="preserve">U0352652  </t>
  </si>
  <si>
    <t xml:space="preserve">U0352667  </t>
  </si>
  <si>
    <t xml:space="preserve">U0352668  </t>
  </si>
  <si>
    <t xml:space="preserve">U0352688  </t>
  </si>
  <si>
    <t xml:space="preserve">U0352689  </t>
  </si>
  <si>
    <t xml:space="preserve">U0352690  </t>
  </si>
  <si>
    <t xml:space="preserve">U0353261  </t>
  </si>
  <si>
    <t xml:space="preserve">U0353263  </t>
  </si>
  <si>
    <t xml:space="preserve">U0353269  </t>
  </si>
  <si>
    <t xml:space="preserve">U0353626  </t>
  </si>
  <si>
    <t xml:space="preserve">U0354326  </t>
  </si>
  <si>
    <t xml:space="preserve">U0355026  </t>
  </si>
  <si>
    <t xml:space="preserve">U0355261  </t>
  </si>
  <si>
    <t xml:space="preserve">U0355266  </t>
  </si>
  <si>
    <t xml:space="preserve">U0355826  </t>
  </si>
  <si>
    <t xml:space="preserve">U0356126  </t>
  </si>
  <si>
    <t xml:space="preserve">U0356260  </t>
  </si>
  <si>
    <t xml:space="preserve">U0356262  </t>
  </si>
  <si>
    <t>1U534L00, 39</t>
  </si>
  <si>
    <t xml:space="preserve">U0356263  </t>
  </si>
  <si>
    <t xml:space="preserve">U0356726  </t>
  </si>
  <si>
    <t>1U538F00, 1U538I00, 11, 39</t>
  </si>
  <si>
    <t xml:space="preserve">U0357262  </t>
  </si>
  <si>
    <t xml:space="preserve">U0358626  </t>
  </si>
  <si>
    <t xml:space="preserve">U0359226  </t>
  </si>
  <si>
    <t xml:space="preserve">U0359262  </t>
  </si>
  <si>
    <t xml:space="preserve">U0359267  </t>
  </si>
  <si>
    <t xml:space="preserve">U0359268  </t>
  </si>
  <si>
    <t xml:space="preserve">U0361626  </t>
  </si>
  <si>
    <t xml:space="preserve">U0361726  </t>
  </si>
  <si>
    <t xml:space="preserve">U0362260  </t>
  </si>
  <si>
    <t xml:space="preserve">U0362326  </t>
  </si>
  <si>
    <t xml:space="preserve">U0362607  </t>
  </si>
  <si>
    <t xml:space="preserve">U0362608  </t>
  </si>
  <si>
    <t xml:space="preserve">U0362609  </t>
  </si>
  <si>
    <t xml:space="preserve">U0362624  </t>
  </si>
  <si>
    <t xml:space="preserve">U0362649  </t>
  </si>
  <si>
    <t xml:space="preserve">U0362667  </t>
  </si>
  <si>
    <t xml:space="preserve">U0362689  </t>
  </si>
  <si>
    <t xml:space="preserve">U0364426  </t>
  </si>
  <si>
    <t xml:space="preserve">U0365265  </t>
  </si>
  <si>
    <t xml:space="preserve">U0365826  </t>
  </si>
  <si>
    <t xml:space="preserve">U0366026  </t>
  </si>
  <si>
    <t xml:space="preserve">U0366226  </t>
  </si>
  <si>
    <t xml:space="preserve">U0366626  </t>
  </si>
  <si>
    <t xml:space="preserve">U0367126  </t>
  </si>
  <si>
    <t xml:space="preserve">U0367266  </t>
  </si>
  <si>
    <t xml:space="preserve">U0367826  </t>
  </si>
  <si>
    <t xml:space="preserve">U0368026  </t>
  </si>
  <si>
    <t xml:space="preserve">U0368326  </t>
  </si>
  <si>
    <t xml:space="preserve">U0369264  </t>
  </si>
  <si>
    <t xml:space="preserve">U0369265  </t>
  </si>
  <si>
    <t xml:space="preserve">U0369526  </t>
  </si>
  <si>
    <t xml:space="preserve">U0370266  </t>
  </si>
  <si>
    <t>Correct.  Loan impaired amount floored at AV</t>
  </si>
  <si>
    <t xml:space="preserve">U0370726  </t>
  </si>
  <si>
    <t xml:space="preserve">U0371261  </t>
  </si>
  <si>
    <t xml:space="preserve">U0371326  </t>
  </si>
  <si>
    <t xml:space="preserve">U0371526  </t>
  </si>
  <si>
    <t xml:space="preserve">U0372261  </t>
  </si>
  <si>
    <t xml:space="preserve">U0372262  </t>
  </si>
  <si>
    <t xml:space="preserve">U0372268  </t>
  </si>
  <si>
    <t xml:space="preserve">U0372612  </t>
  </si>
  <si>
    <t xml:space="preserve">U0372613  </t>
  </si>
  <si>
    <t xml:space="preserve">U0372615  </t>
  </si>
  <si>
    <t xml:space="preserve">U0372624  </t>
  </si>
  <si>
    <t xml:space="preserve">U0372626  </t>
  </si>
  <si>
    <t xml:space="preserve">U0372635  </t>
  </si>
  <si>
    <t xml:space="preserve">U0372648  </t>
  </si>
  <si>
    <t xml:space="preserve">U0372685  </t>
  </si>
  <si>
    <t xml:space="preserve">U0372695  </t>
  </si>
  <si>
    <t xml:space="preserve">U0372698  </t>
  </si>
  <si>
    <t xml:space="preserve">U0372926  </t>
  </si>
  <si>
    <t xml:space="preserve">U0373264  </t>
  </si>
  <si>
    <t xml:space="preserve">U0373269  </t>
  </si>
  <si>
    <t xml:space="preserve">U0374126  </t>
  </si>
  <si>
    <t xml:space="preserve">U0374926  </t>
  </si>
  <si>
    <t xml:space="preserve">U0375267  </t>
  </si>
  <si>
    <t xml:space="preserve">U0375268  </t>
  </si>
  <si>
    <t xml:space="preserve">U0376226  </t>
  </si>
  <si>
    <t xml:space="preserve">U0376266  </t>
  </si>
  <si>
    <t xml:space="preserve">U0377426  </t>
  </si>
  <si>
    <t xml:space="preserve">U0378268  </t>
  </si>
  <si>
    <t xml:space="preserve">U0379260  </t>
  </si>
  <si>
    <t xml:space="preserve">U0379926  </t>
  </si>
  <si>
    <t xml:space="preserve">U0380626  </t>
  </si>
  <si>
    <t xml:space="preserve">U0382263  </t>
  </si>
  <si>
    <t xml:space="preserve">U0382264  </t>
  </si>
  <si>
    <t xml:space="preserve">U0382265  </t>
  </si>
  <si>
    <t xml:space="preserve">U0382526  </t>
  </si>
  <si>
    <t xml:space="preserve">U0382602  </t>
  </si>
  <si>
    <t xml:space="preserve">U0382609  </t>
  </si>
  <si>
    <t>1U538F00, 39</t>
  </si>
  <si>
    <t xml:space="preserve">U0382610  </t>
  </si>
  <si>
    <t xml:space="preserve">U0382650  </t>
  </si>
  <si>
    <t xml:space="preserve">U0382671  </t>
  </si>
  <si>
    <t xml:space="preserve">U0382826  </t>
  </si>
  <si>
    <t xml:space="preserve">U0383226  </t>
  </si>
  <si>
    <t xml:space="preserve">U0383260  </t>
  </si>
  <si>
    <t xml:space="preserve">U0383526  </t>
  </si>
  <si>
    <t xml:space="preserve">U0386263  </t>
  </si>
  <si>
    <t xml:space="preserve">U0387260  </t>
  </si>
  <si>
    <t xml:space="preserve">U0387261  </t>
  </si>
  <si>
    <t xml:space="preserve">U0387266  </t>
  </si>
  <si>
    <t xml:space="preserve">V0832639  </t>
  </si>
  <si>
    <t xml:space="preserve">1A130E29   </t>
  </si>
  <si>
    <t xml:space="preserve">V0833826  </t>
  </si>
  <si>
    <t xml:space="preserve">V0843267  </t>
  </si>
  <si>
    <t xml:space="preserve">V0846726  </t>
  </si>
  <si>
    <t xml:space="preserve">V0848266  </t>
  </si>
  <si>
    <t xml:space="preserve">V0859526  </t>
  </si>
  <si>
    <t xml:space="preserve">1A130J2X   </t>
  </si>
  <si>
    <t xml:space="preserve">V8624226  </t>
  </si>
  <si>
    <t xml:space="preserve">1A130F2X   </t>
  </si>
  <si>
    <t xml:space="preserve">V8625269  </t>
  </si>
  <si>
    <t>1A532A00, 1A530C8Y</t>
  </si>
  <si>
    <t xml:space="preserve">V8626349  </t>
  </si>
  <si>
    <t xml:space="preserve">V8626490  </t>
  </si>
  <si>
    <t xml:space="preserve">V8626542  </t>
  </si>
  <si>
    <t xml:space="preserve">V8626775  </t>
  </si>
  <si>
    <t xml:space="preserve">V8631260  </t>
  </si>
  <si>
    <t xml:space="preserve">1A130A29   </t>
  </si>
  <si>
    <t xml:space="preserve">V8631263  </t>
  </si>
  <si>
    <t>3I</t>
  </si>
  <si>
    <t>Cyberlife has no Guideline Premium or Definition of life insurance.  Errors in RERUN. Suiteview matches MD on val date</t>
  </si>
  <si>
    <t xml:space="preserve">V8720266  </t>
  </si>
  <si>
    <t xml:space="preserve">1A130400   </t>
  </si>
  <si>
    <t xml:space="preserve">SULI     </t>
  </si>
  <si>
    <t xml:space="preserve">V8720267  </t>
  </si>
  <si>
    <t xml:space="preserve">12607764  </t>
  </si>
  <si>
    <t xml:space="preserve">12607810  </t>
  </si>
  <si>
    <t>Def of Life not defined.  RERUN forcing out, SuiteView not</t>
  </si>
  <si>
    <t>MATCH!  I had to set RERUN to Level prem on the cap</t>
  </si>
  <si>
    <t>MATCH!  After GLP normalized in suiteview</t>
  </si>
  <si>
    <t>MATCH!.  Sutieview uses min(AV, loan prinicple) as collateral</t>
  </si>
  <si>
    <t>pass - 6/21/2026</t>
  </si>
  <si>
    <t>Policy has more then 3 base coverages</t>
  </si>
  <si>
    <t>MATCH!  Suiteview was including a termianted base cov.  This has been fixed</t>
  </si>
  <si>
    <t>Rerun matches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</si>
</sst>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0.000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cellStyleXfs>
  <cellXfs count="18">
    <xf numFmtId="0" fontId="0" fillId="0" borderId="0" xfId="0"/>
    <xf numFmtId="49" fontId="0" fillId="0" borderId="0" xfId="0" applyNumberFormat="1"/>
    <xf numFmtId="14" fontId="0" fillId="0" borderId="0" xfId="0" applyNumberFormat="1"/>
    <xf numFmtId="17" fontId="0" fillId="0" borderId="0" xfId="0" applyNumberFormat="1"/>
    <xf numFmtId="164" fontId="0" fillId="0" borderId="0" xfId="0" applyNumberFormat="1"/>
    <xf numFmtId="4" fontId="0" fillId="0" borderId="0" xfId="0" applyNumberFormat="1"/>
    <xf numFmtId="14" fontId="0" fillId="0" borderId="0" xfId="1" applyNumberFormat="1" applyFont="1" applyAlignment="1">
      <alignment horizontal="right"/>
    </xf>
    <xf numFmtId="2" fontId="0" fillId="0" borderId="0" xfId="0" applyNumberFormat="1" applyAlignment="1">
      <alignment horizontal="right"/>
    </xf>
    <xf numFmtId="14" fontId="0" fillId="0" borderId="0" xfId="0" applyNumberFormat="1" applyAlignment="1">
      <alignment horizontal="left"/>
    </xf>
    <xf numFmtId="14" fontId="0" fillId="0" borderId="0" xfId="1" applyNumberFormat="1" applyFont="1" applyAlignment="1">
      <alignment horizontal="left"/>
    </xf>
    <xf numFmtId="0" fontId="0" fillId="0" borderId="0" xfId="0" applyAlignment="1">
      <alignment horizontal="left"/>
    </xf>
    <xf numFmtId="0" fontId="0" fillId="0" borderId="0" xfId="0" applyAlignment="1">
      <alignment horizontal="right"/>
    </xf>
    <xf numFmtId="165" fontId="0" fillId="0" borderId="0" xfId="0" applyNumberFormat="1" applyAlignment="1">
      <alignment horizontal="right"/>
    </xf>
    <xf numFmtId="2" fontId="0" fillId="0" borderId="0" xfId="0" applyNumberFormat="1"/>
    <xf numFmtId="1" fontId="0" fillId="0" borderId="0" xfId="0" applyNumberFormat="1"/>
    <xf numFmtId="2" fontId="0" fillId="0" borderId="0" xfId="0" applyNumberFormat="1" applyAlignment="1">
      <alignment horizontal="left"/>
    </xf>
    <xf numFmtId="0" fontId="0" fillId="2" borderId="0" xfId="0" applyFill="1"/>
    <xf numFmtId="2" fontId="0" fillId="2" borderId="0" xfId="0" applyNumberFormat="1" applyFill="1" applyAlignment="1">
      <alignment horizontal="righ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719"/>
  <sheetViews>
    <sheetView tabSelected="1" workbookViewId="0">
      <pane ySplit="1" topLeftCell="A115" activePane="bottomLeft" state="frozen"/>
      <selection pane="bottomLeft" activeCell="A130" sqref="A130"/>
    </sheetView>
  </sheetViews>
  <sheetFormatPr defaultRowHeight="15" x14ac:dyDescent="0.25"/>
  <cols>
    <col min="1" max="3" width="14.140625" customWidth="1"/>
    <col min="5" max="5" width="19.42578125" style="2" customWidth="1"/>
    <col min="6" max="6" width="11.7109375" customWidth="1"/>
    <col min="7" max="7" width="33" style="10" customWidth="1"/>
    <col min="8" max="8" width="23.42578125" style="10" customWidth="1"/>
    <col min="9" max="9" width="2.7109375" style="16" customWidth="1"/>
    <col min="10" max="10" width="15.28515625" style="11" bestFit="1" customWidth="1"/>
    <col min="11" max="11" width="13.7109375" style="11" bestFit="1" customWidth="1"/>
    <col min="13" max="13" width="10.42578125" customWidth="1"/>
    <col min="14" max="14" width="12.28515625" customWidth="1"/>
    <col min="16" max="16" width="21.7109375" customWidth="1"/>
  </cols>
  <sheetData>
    <row r="1" spans="1:17" x14ac:dyDescent="0.25">
      <c r="A1" t="s">
        <v>0</v>
      </c>
      <c r="B1" t="s">
        <v>1</v>
      </c>
      <c r="C1" t="s">
        <v>2</v>
      </c>
      <c r="E1" s="2" t="s">
        <v>106</v>
      </c>
      <c r="F1" s="2" t="s">
        <v>107</v>
      </c>
      <c r="G1" s="8" t="s">
        <v>3</v>
      </c>
      <c r="J1" s="11" t="s">
        <v>108</v>
      </c>
      <c r="K1" s="11" t="s">
        <v>109</v>
      </c>
      <c r="M1" t="s">
        <v>110</v>
      </c>
      <c r="N1" t="s">
        <v>111</v>
      </c>
      <c r="P1" t="s">
        <v>112</v>
      </c>
      <c r="Q1" t="s">
        <v>113</v>
      </c>
    </row>
    <row r="2" spans="1:17" x14ac:dyDescent="0.25">
      <c r="A2" s="1" t="s">
        <v>114</v>
      </c>
      <c r="B2" s="1" t="s">
        <v>115</v>
      </c>
      <c r="C2" t="s">
        <v>116</v>
      </c>
      <c r="E2" s="4">
        <v>47522</v>
      </c>
      <c r="F2" s="5">
        <v>-56.85</v>
      </c>
      <c r="G2" s="9"/>
      <c r="H2" s="7"/>
      <c r="I2" s="17"/>
      <c r="J2" s="6">
        <v>47522</v>
      </c>
      <c r="K2" s="12">
        <v>-56.846411195832673</v>
      </c>
      <c r="M2">
        <f t="shared" ref="M2:M65" si="0">E2-J2</f>
        <v>0</v>
      </c>
      <c r="N2" s="13">
        <f t="shared" ref="N2:N65" si="1">ROUND(K2/F2,2)</f>
        <v>1</v>
      </c>
      <c r="P2" t="s">
        <v>117</v>
      </c>
    </row>
    <row r="3" spans="1:17" x14ac:dyDescent="0.25">
      <c r="A3" s="1" t="s">
        <v>118</v>
      </c>
      <c r="B3" s="1" t="s">
        <v>115</v>
      </c>
      <c r="C3" t="s">
        <v>116</v>
      </c>
      <c r="E3" s="4">
        <v>59391</v>
      </c>
      <c r="F3" s="5">
        <v>-232.29</v>
      </c>
      <c r="G3" s="9" t="s">
        <v>119</v>
      </c>
      <c r="H3" s="7"/>
      <c r="I3" s="17"/>
      <c r="J3" s="6" t="e">
        <v>#N/A</v>
      </c>
      <c r="K3" s="12" t="e">
        <v>#N/A</v>
      </c>
      <c r="M3" t="e">
        <f t="shared" si="0"/>
        <v>#N/A</v>
      </c>
      <c r="N3" s="13" t="e">
        <f t="shared" si="1"/>
        <v>#N/A</v>
      </c>
    </row>
    <row r="4" spans="1:17" x14ac:dyDescent="0.25">
      <c r="A4" s="1" t="s">
        <v>120</v>
      </c>
      <c r="B4" s="1" t="s">
        <v>115</v>
      </c>
      <c r="C4" t="s">
        <v>116</v>
      </c>
      <c r="E4" s="4">
        <v>46231</v>
      </c>
      <c r="F4" s="5">
        <v>-8.4700000000000006</v>
      </c>
      <c r="G4" s="9"/>
      <c r="H4" s="7"/>
      <c r="I4" s="17"/>
      <c r="J4" s="6">
        <v>46231</v>
      </c>
      <c r="K4" s="12">
        <v>-8.4705676356650983</v>
      </c>
      <c r="M4">
        <f t="shared" si="0"/>
        <v>0</v>
      </c>
      <c r="N4" s="13">
        <f t="shared" si="1"/>
        <v>1</v>
      </c>
      <c r="P4" t="s">
        <v>117</v>
      </c>
    </row>
    <row r="5" spans="1:17" x14ac:dyDescent="0.25">
      <c r="A5" s="1" t="s">
        <v>121</v>
      </c>
      <c r="B5" s="1" t="s">
        <v>115</v>
      </c>
      <c r="C5" t="s">
        <v>116</v>
      </c>
      <c r="E5" s="4">
        <v>46688</v>
      </c>
      <c r="F5" s="5">
        <v>-1.39</v>
      </c>
      <c r="G5" s="9"/>
      <c r="H5" s="7"/>
      <c r="I5" s="17"/>
      <c r="J5" s="6">
        <v>46688</v>
      </c>
      <c r="K5" s="12">
        <v>-1.3869834276231361</v>
      </c>
      <c r="M5">
        <f t="shared" si="0"/>
        <v>0</v>
      </c>
      <c r="N5" s="13">
        <f t="shared" si="1"/>
        <v>1</v>
      </c>
      <c r="P5" t="s">
        <v>117</v>
      </c>
    </row>
    <row r="6" spans="1:17" x14ac:dyDescent="0.25">
      <c r="A6" s="1" t="s">
        <v>122</v>
      </c>
      <c r="B6" s="1" t="s">
        <v>115</v>
      </c>
      <c r="C6" t="s">
        <v>116</v>
      </c>
      <c r="E6" s="4">
        <v>49153</v>
      </c>
      <c r="F6" s="5">
        <v>-38.49</v>
      </c>
      <c r="G6" s="9"/>
      <c r="H6" s="7"/>
      <c r="I6" s="17"/>
      <c r="J6" s="6">
        <v>49153</v>
      </c>
      <c r="K6" s="12">
        <v>-38.4881613709031</v>
      </c>
      <c r="M6">
        <f t="shared" si="0"/>
        <v>0</v>
      </c>
      <c r="N6" s="13">
        <f t="shared" si="1"/>
        <v>1</v>
      </c>
      <c r="P6" t="s">
        <v>117</v>
      </c>
    </row>
    <row r="7" spans="1:17" x14ac:dyDescent="0.25">
      <c r="A7" s="1" t="s">
        <v>123</v>
      </c>
      <c r="B7" s="1" t="s">
        <v>115</v>
      </c>
      <c r="C7" t="s">
        <v>116</v>
      </c>
      <c r="E7" s="6">
        <v>49879</v>
      </c>
      <c r="F7" s="7">
        <v>12782.757374838506</v>
      </c>
      <c r="G7" s="9"/>
      <c r="H7" s="15"/>
      <c r="I7" s="17"/>
      <c r="J7" s="6">
        <v>49879</v>
      </c>
      <c r="K7" s="7">
        <v>12782.757374838506</v>
      </c>
      <c r="M7">
        <f t="shared" si="0"/>
        <v>0</v>
      </c>
      <c r="N7" s="13">
        <f t="shared" si="1"/>
        <v>1</v>
      </c>
      <c r="P7" s="14" t="s">
        <v>819</v>
      </c>
    </row>
    <row r="8" spans="1:17" x14ac:dyDescent="0.25">
      <c r="A8" s="1" t="s">
        <v>124</v>
      </c>
      <c r="B8" s="1" t="s">
        <v>115</v>
      </c>
      <c r="C8" t="s">
        <v>116</v>
      </c>
      <c r="E8" s="4">
        <v>51548</v>
      </c>
      <c r="F8" s="5">
        <v>-9.49</v>
      </c>
      <c r="G8" s="9"/>
      <c r="H8" s="7"/>
      <c r="I8" s="17"/>
      <c r="J8" s="6">
        <v>51548</v>
      </c>
      <c r="K8" s="12">
        <v>-9.6536701999812422</v>
      </c>
      <c r="M8">
        <f t="shared" si="0"/>
        <v>0</v>
      </c>
      <c r="N8" s="13">
        <f t="shared" si="1"/>
        <v>1.02</v>
      </c>
      <c r="P8" s="14" t="s">
        <v>117</v>
      </c>
    </row>
    <row r="9" spans="1:17" x14ac:dyDescent="0.25">
      <c r="A9" s="1" t="s">
        <v>125</v>
      </c>
      <c r="B9" s="1" t="s">
        <v>115</v>
      </c>
      <c r="C9" t="s">
        <v>116</v>
      </c>
      <c r="E9" s="4">
        <v>46889</v>
      </c>
      <c r="F9" s="5">
        <v>-23.78</v>
      </c>
      <c r="G9" s="9" t="s">
        <v>126</v>
      </c>
      <c r="H9" s="7"/>
      <c r="I9" s="17"/>
      <c r="J9" s="6">
        <v>47073</v>
      </c>
      <c r="K9" s="12">
        <v>-30.912189045022672</v>
      </c>
      <c r="M9">
        <f t="shared" si="0"/>
        <v>-184</v>
      </c>
      <c r="N9" s="13">
        <f t="shared" si="1"/>
        <v>1.3</v>
      </c>
      <c r="P9" s="14" t="s">
        <v>117</v>
      </c>
    </row>
    <row r="10" spans="1:17" x14ac:dyDescent="0.25">
      <c r="A10" s="1" t="s">
        <v>127</v>
      </c>
      <c r="B10" s="1" t="s">
        <v>115</v>
      </c>
      <c r="C10" t="s">
        <v>116</v>
      </c>
      <c r="E10" s="4">
        <v>51607</v>
      </c>
      <c r="F10" s="5">
        <v>-63.99</v>
      </c>
      <c r="G10" s="9"/>
      <c r="H10" s="7"/>
      <c r="I10" s="17"/>
      <c r="J10" s="6">
        <v>51607</v>
      </c>
      <c r="K10" s="12">
        <v>-66.891591476896423</v>
      </c>
      <c r="M10">
        <f t="shared" si="0"/>
        <v>0</v>
      </c>
      <c r="N10" s="13">
        <f t="shared" si="1"/>
        <v>1.05</v>
      </c>
      <c r="P10" s="14" t="s">
        <v>117</v>
      </c>
    </row>
    <row r="11" spans="1:17" x14ac:dyDescent="0.25">
      <c r="A11" s="1" t="s">
        <v>128</v>
      </c>
      <c r="B11" s="1" t="s">
        <v>129</v>
      </c>
      <c r="C11" t="s">
        <v>130</v>
      </c>
      <c r="E11" s="4">
        <v>46949</v>
      </c>
      <c r="F11" s="5">
        <v>-109.49</v>
      </c>
      <c r="G11" s="9" t="s">
        <v>131</v>
      </c>
      <c r="H11" s="7"/>
      <c r="I11" s="17"/>
      <c r="J11" s="6">
        <v>46949</v>
      </c>
      <c r="K11" s="12">
        <v>-109.49018480980961</v>
      </c>
      <c r="M11">
        <f t="shared" si="0"/>
        <v>0</v>
      </c>
      <c r="N11" s="13">
        <f t="shared" si="1"/>
        <v>1</v>
      </c>
      <c r="P11" s="14" t="s">
        <v>117</v>
      </c>
    </row>
    <row r="12" spans="1:17" x14ac:dyDescent="0.25">
      <c r="A12" s="1" t="s">
        <v>132</v>
      </c>
      <c r="B12" s="1" t="s">
        <v>129</v>
      </c>
      <c r="C12" t="s">
        <v>130</v>
      </c>
      <c r="E12" s="4">
        <v>49401</v>
      </c>
      <c r="F12" s="5">
        <v>-10.8</v>
      </c>
      <c r="G12" s="9"/>
      <c r="H12" s="7"/>
      <c r="I12" s="17"/>
      <c r="J12" s="6">
        <v>49401</v>
      </c>
      <c r="K12" s="12">
        <v>-10.79751424244296</v>
      </c>
      <c r="M12">
        <f t="shared" si="0"/>
        <v>0</v>
      </c>
      <c r="N12" s="13">
        <f t="shared" si="1"/>
        <v>1</v>
      </c>
      <c r="P12" s="14" t="s">
        <v>117</v>
      </c>
    </row>
    <row r="13" spans="1:17" x14ac:dyDescent="0.25">
      <c r="A13" s="1" t="s">
        <v>133</v>
      </c>
      <c r="B13" s="1" t="s">
        <v>129</v>
      </c>
      <c r="C13" t="s">
        <v>130</v>
      </c>
      <c r="E13" s="4">
        <v>54558</v>
      </c>
      <c r="F13" s="5">
        <v>-7.77</v>
      </c>
      <c r="G13" s="9"/>
      <c r="H13" s="7"/>
      <c r="I13" s="17"/>
      <c r="J13" s="6">
        <v>54558</v>
      </c>
      <c r="K13" s="12">
        <v>-7.7678885966560642</v>
      </c>
      <c r="M13">
        <f t="shared" si="0"/>
        <v>0</v>
      </c>
      <c r="N13" s="13">
        <f t="shared" si="1"/>
        <v>1</v>
      </c>
      <c r="P13" s="14" t="s">
        <v>117</v>
      </c>
    </row>
    <row r="14" spans="1:17" x14ac:dyDescent="0.25">
      <c r="A14" s="1" t="s">
        <v>134</v>
      </c>
      <c r="B14" s="1" t="s">
        <v>129</v>
      </c>
      <c r="C14" t="s">
        <v>130</v>
      </c>
      <c r="E14" s="4">
        <v>46972</v>
      </c>
      <c r="F14" s="5">
        <v>-41.28</v>
      </c>
      <c r="G14" s="9" t="s">
        <v>135</v>
      </c>
      <c r="H14" s="7"/>
      <c r="I14" s="17"/>
      <c r="J14" s="6">
        <v>46941</v>
      </c>
      <c r="K14" s="12">
        <v>-7.5149388155674046</v>
      </c>
      <c r="M14">
        <f t="shared" si="0"/>
        <v>31</v>
      </c>
      <c r="N14" s="13">
        <f t="shared" si="1"/>
        <v>0.18</v>
      </c>
      <c r="P14" s="14"/>
    </row>
    <row r="15" spans="1:17" x14ac:dyDescent="0.25">
      <c r="A15" s="1" t="s">
        <v>136</v>
      </c>
      <c r="B15" s="1" t="s">
        <v>129</v>
      </c>
      <c r="C15" t="s">
        <v>130</v>
      </c>
      <c r="E15" s="4">
        <v>46614</v>
      </c>
      <c r="F15" s="5">
        <v>-3.4</v>
      </c>
      <c r="G15" s="9" t="s">
        <v>137</v>
      </c>
      <c r="H15" s="7"/>
      <c r="I15" s="17"/>
      <c r="J15" s="6" t="e">
        <v>#N/A</v>
      </c>
      <c r="K15" s="12" t="e">
        <v>#N/A</v>
      </c>
      <c r="M15" t="e">
        <f t="shared" si="0"/>
        <v>#N/A</v>
      </c>
      <c r="N15" s="13" t="e">
        <f t="shared" si="1"/>
        <v>#N/A</v>
      </c>
      <c r="P15" s="14"/>
    </row>
    <row r="16" spans="1:17" x14ac:dyDescent="0.25">
      <c r="A16" s="1" t="s">
        <v>138</v>
      </c>
      <c r="B16" s="1" t="s">
        <v>139</v>
      </c>
      <c r="C16" t="s">
        <v>140</v>
      </c>
      <c r="E16" s="4">
        <v>56564</v>
      </c>
      <c r="F16" s="5">
        <v>-9.8000000000000007</v>
      </c>
      <c r="G16" s="9"/>
      <c r="H16" s="7"/>
      <c r="I16" s="17"/>
      <c r="J16" s="6">
        <v>56564</v>
      </c>
      <c r="K16" s="12">
        <v>-9.7991604746264329</v>
      </c>
      <c r="M16">
        <f t="shared" si="0"/>
        <v>0</v>
      </c>
      <c r="N16" s="13">
        <f t="shared" si="1"/>
        <v>1</v>
      </c>
      <c r="P16" s="14" t="s">
        <v>117</v>
      </c>
    </row>
    <row r="17" spans="1:17" x14ac:dyDescent="0.25">
      <c r="A17" s="1" t="s">
        <v>141</v>
      </c>
      <c r="B17" s="1" t="s">
        <v>139</v>
      </c>
      <c r="C17" t="s">
        <v>140</v>
      </c>
      <c r="E17" s="4">
        <v>47144</v>
      </c>
      <c r="F17" s="5">
        <v>-87.86</v>
      </c>
      <c r="G17" s="9"/>
      <c r="H17" s="7"/>
      <c r="I17" s="17"/>
      <c r="J17" s="6">
        <v>47144</v>
      </c>
      <c r="K17" s="12">
        <v>-87.855610377713674</v>
      </c>
      <c r="M17">
        <f t="shared" si="0"/>
        <v>0</v>
      </c>
      <c r="N17" s="13">
        <f t="shared" si="1"/>
        <v>1</v>
      </c>
      <c r="P17" s="14" t="s">
        <v>117</v>
      </c>
    </row>
    <row r="18" spans="1:17" x14ac:dyDescent="0.25">
      <c r="A18" s="1" t="s">
        <v>142</v>
      </c>
      <c r="B18" s="1" t="s">
        <v>139</v>
      </c>
      <c r="C18" t="s">
        <v>140</v>
      </c>
      <c r="E18" s="4">
        <v>46583</v>
      </c>
      <c r="F18" s="5">
        <v>-38.67</v>
      </c>
      <c r="G18" s="9" t="s">
        <v>143</v>
      </c>
      <c r="H18" s="7"/>
      <c r="I18" s="17"/>
      <c r="J18" s="6">
        <v>46583</v>
      </c>
      <c r="K18" s="12">
        <v>-38.665777492849287</v>
      </c>
      <c r="M18">
        <f t="shared" si="0"/>
        <v>0</v>
      </c>
      <c r="N18" s="13">
        <f t="shared" si="1"/>
        <v>1</v>
      </c>
      <c r="P18" s="14" t="s">
        <v>117</v>
      </c>
    </row>
    <row r="19" spans="1:17" x14ac:dyDescent="0.25">
      <c r="A19" s="1" t="s">
        <v>144</v>
      </c>
      <c r="B19" s="1" t="s">
        <v>139</v>
      </c>
      <c r="C19" t="s">
        <v>140</v>
      </c>
      <c r="E19" s="4">
        <v>50834</v>
      </c>
      <c r="F19" s="5">
        <v>-375.1</v>
      </c>
      <c r="G19" s="9"/>
      <c r="H19" s="7"/>
      <c r="I19" s="17"/>
      <c r="J19" s="6">
        <v>50834</v>
      </c>
      <c r="K19" s="12">
        <v>-375.09769819932842</v>
      </c>
      <c r="M19">
        <f t="shared" si="0"/>
        <v>0</v>
      </c>
      <c r="N19" s="13">
        <f t="shared" si="1"/>
        <v>1</v>
      </c>
      <c r="P19" s="14" t="s">
        <v>117</v>
      </c>
    </row>
    <row r="20" spans="1:17" x14ac:dyDescent="0.25">
      <c r="A20" s="1" t="s">
        <v>145</v>
      </c>
      <c r="B20" s="1" t="s">
        <v>146</v>
      </c>
      <c r="C20" t="s">
        <v>147</v>
      </c>
      <c r="E20" s="4">
        <v>46539</v>
      </c>
      <c r="F20" s="5">
        <v>-107.61</v>
      </c>
      <c r="G20" s="9" t="s">
        <v>148</v>
      </c>
      <c r="H20" s="7"/>
      <c r="I20" s="17"/>
      <c r="J20" s="6">
        <v>46539</v>
      </c>
      <c r="K20" s="12">
        <v>-107.6872610320078</v>
      </c>
      <c r="M20">
        <f t="shared" si="0"/>
        <v>0</v>
      </c>
      <c r="N20" s="13">
        <f t="shared" si="1"/>
        <v>1</v>
      </c>
      <c r="P20" s="14" t="s">
        <v>117</v>
      </c>
    </row>
    <row r="21" spans="1:17" x14ac:dyDescent="0.25">
      <c r="A21" s="1" t="s">
        <v>149</v>
      </c>
      <c r="B21" s="1" t="s">
        <v>150</v>
      </c>
      <c r="C21" t="s">
        <v>151</v>
      </c>
      <c r="E21" s="4">
        <v>49143</v>
      </c>
      <c r="F21" s="5">
        <v>-640.23</v>
      </c>
      <c r="G21" s="9"/>
      <c r="H21" s="7"/>
      <c r="I21" s="17"/>
      <c r="J21" s="6">
        <v>49143</v>
      </c>
      <c r="K21" s="12">
        <v>-640.23124553884463</v>
      </c>
      <c r="M21">
        <f t="shared" si="0"/>
        <v>0</v>
      </c>
      <c r="N21" s="13">
        <f t="shared" si="1"/>
        <v>1</v>
      </c>
      <c r="P21" s="14" t="s">
        <v>117</v>
      </c>
    </row>
    <row r="22" spans="1:17" x14ac:dyDescent="0.25">
      <c r="A22" s="1" t="s">
        <v>152</v>
      </c>
      <c r="B22" s="1" t="s">
        <v>139</v>
      </c>
      <c r="C22" t="s">
        <v>140</v>
      </c>
      <c r="E22" s="4">
        <v>48065</v>
      </c>
      <c r="F22" s="5">
        <v>-159.08000000000001</v>
      </c>
      <c r="G22" s="9"/>
      <c r="H22" s="7"/>
      <c r="I22" s="17"/>
      <c r="J22" s="6">
        <v>48065</v>
      </c>
      <c r="K22" s="12">
        <v>-159.08076227789931</v>
      </c>
      <c r="M22">
        <f t="shared" si="0"/>
        <v>0</v>
      </c>
      <c r="N22" s="13">
        <f t="shared" si="1"/>
        <v>1</v>
      </c>
      <c r="P22" s="14" t="s">
        <v>117</v>
      </c>
    </row>
    <row r="23" spans="1:17" x14ac:dyDescent="0.25">
      <c r="A23" s="1" t="s">
        <v>153</v>
      </c>
      <c r="B23" s="1" t="s">
        <v>146</v>
      </c>
      <c r="C23" t="s">
        <v>147</v>
      </c>
      <c r="E23" s="4">
        <v>46736</v>
      </c>
      <c r="F23" s="5">
        <v>-38.19</v>
      </c>
      <c r="G23" s="9"/>
      <c r="H23" s="7"/>
      <c r="I23" s="17"/>
      <c r="J23" s="6">
        <v>46736</v>
      </c>
      <c r="K23" s="12">
        <v>-38.28056848084239</v>
      </c>
      <c r="M23">
        <f t="shared" si="0"/>
        <v>0</v>
      </c>
      <c r="N23" s="13">
        <f t="shared" si="1"/>
        <v>1</v>
      </c>
      <c r="P23" s="14" t="s">
        <v>117</v>
      </c>
    </row>
    <row r="24" spans="1:17" x14ac:dyDescent="0.25">
      <c r="A24" s="1" t="s">
        <v>154</v>
      </c>
      <c r="B24" s="1" t="s">
        <v>146</v>
      </c>
      <c r="C24" t="s">
        <v>147</v>
      </c>
      <c r="E24" s="4">
        <v>46798</v>
      </c>
      <c r="F24" s="5">
        <v>-67.77</v>
      </c>
      <c r="G24" s="9" t="s">
        <v>143</v>
      </c>
      <c r="H24" s="7"/>
      <c r="I24" s="17"/>
      <c r="J24" s="6">
        <v>46798</v>
      </c>
      <c r="K24" s="12">
        <v>-67.819021675239242</v>
      </c>
      <c r="M24">
        <f t="shared" si="0"/>
        <v>0</v>
      </c>
      <c r="N24" s="13">
        <f t="shared" si="1"/>
        <v>1</v>
      </c>
      <c r="P24" s="14" t="s">
        <v>117</v>
      </c>
    </row>
    <row r="25" spans="1:17" x14ac:dyDescent="0.25">
      <c r="A25" s="1" t="s">
        <v>155</v>
      </c>
      <c r="B25" s="1" t="s">
        <v>146</v>
      </c>
      <c r="C25" t="s">
        <v>147</v>
      </c>
      <c r="E25" s="4">
        <v>46201</v>
      </c>
      <c r="F25" s="5">
        <v>-679.32</v>
      </c>
      <c r="G25" s="9" t="s">
        <v>148</v>
      </c>
      <c r="H25" s="7"/>
      <c r="I25" s="17"/>
      <c r="J25" s="6">
        <v>46201</v>
      </c>
      <c r="K25" s="12">
        <v>-679.31648622474131</v>
      </c>
      <c r="M25">
        <f t="shared" si="0"/>
        <v>0</v>
      </c>
      <c r="N25" s="13">
        <f t="shared" si="1"/>
        <v>1</v>
      </c>
      <c r="P25" s="14" t="s">
        <v>117</v>
      </c>
    </row>
    <row r="26" spans="1:17" x14ac:dyDescent="0.25">
      <c r="A26" s="1" t="s">
        <v>156</v>
      </c>
      <c r="B26" s="1" t="s">
        <v>146</v>
      </c>
      <c r="C26" t="s">
        <v>147</v>
      </c>
      <c r="E26" s="4">
        <v>49136</v>
      </c>
      <c r="F26" s="5">
        <v>-83.37</v>
      </c>
      <c r="G26" s="9"/>
      <c r="H26" s="7"/>
      <c r="I26" s="17"/>
      <c r="J26" s="6">
        <v>49136</v>
      </c>
      <c r="K26" s="12">
        <v>-83.708958055376343</v>
      </c>
      <c r="M26">
        <f t="shared" si="0"/>
        <v>0</v>
      </c>
      <c r="N26" s="13">
        <f t="shared" si="1"/>
        <v>1</v>
      </c>
      <c r="P26" s="14" t="s">
        <v>117</v>
      </c>
    </row>
    <row r="27" spans="1:17" x14ac:dyDescent="0.25">
      <c r="A27" s="1" t="s">
        <v>157</v>
      </c>
      <c r="B27" s="1" t="s">
        <v>146</v>
      </c>
      <c r="C27" t="s">
        <v>147</v>
      </c>
      <c r="E27" s="4">
        <v>49904</v>
      </c>
      <c r="F27" s="5">
        <v>-183.78</v>
      </c>
      <c r="G27" s="9" t="s">
        <v>158</v>
      </c>
      <c r="H27" s="7"/>
      <c r="I27" s="17"/>
      <c r="J27" s="6">
        <v>49904</v>
      </c>
      <c r="K27" s="12">
        <v>-187.1993390676609</v>
      </c>
      <c r="M27">
        <f t="shared" si="0"/>
        <v>0</v>
      </c>
      <c r="N27" s="13">
        <f t="shared" si="1"/>
        <v>1.02</v>
      </c>
      <c r="P27" s="14" t="s">
        <v>117</v>
      </c>
    </row>
    <row r="28" spans="1:17" x14ac:dyDescent="0.25">
      <c r="A28" s="1" t="s">
        <v>159</v>
      </c>
      <c r="B28" s="1" t="s">
        <v>146</v>
      </c>
      <c r="C28" t="s">
        <v>147</v>
      </c>
      <c r="E28" s="4">
        <v>49525</v>
      </c>
      <c r="F28" s="5">
        <v>-30.24</v>
      </c>
      <c r="G28" s="9" t="s">
        <v>160</v>
      </c>
      <c r="H28" s="7"/>
      <c r="I28" s="17"/>
      <c r="J28" s="6">
        <v>49556</v>
      </c>
      <c r="K28" s="12">
        <v>-59.516333201711753</v>
      </c>
      <c r="M28">
        <f t="shared" si="0"/>
        <v>-31</v>
      </c>
      <c r="N28" s="13">
        <f t="shared" si="1"/>
        <v>1.97</v>
      </c>
      <c r="P28" s="14" t="s">
        <v>161</v>
      </c>
      <c r="Q28" s="15" t="s">
        <v>162</v>
      </c>
    </row>
    <row r="29" spans="1:17" x14ac:dyDescent="0.25">
      <c r="A29" s="1" t="s">
        <v>163</v>
      </c>
      <c r="B29" s="1" t="s">
        <v>146</v>
      </c>
      <c r="C29" t="s">
        <v>147</v>
      </c>
      <c r="E29" s="4">
        <v>48970</v>
      </c>
      <c r="F29" s="5">
        <v>-67.650000000000006</v>
      </c>
      <c r="G29" s="9"/>
      <c r="H29" s="7"/>
      <c r="I29" s="17"/>
      <c r="J29" s="6">
        <v>48970</v>
      </c>
      <c r="K29" s="12">
        <v>-71.024332834952475</v>
      </c>
      <c r="M29">
        <f t="shared" si="0"/>
        <v>0</v>
      </c>
      <c r="N29" s="13">
        <f t="shared" si="1"/>
        <v>1.05</v>
      </c>
      <c r="P29" s="14" t="s">
        <v>117</v>
      </c>
    </row>
    <row r="30" spans="1:17" x14ac:dyDescent="0.25">
      <c r="A30" s="1" t="s">
        <v>164</v>
      </c>
      <c r="B30" s="1" t="s">
        <v>146</v>
      </c>
      <c r="C30" t="s">
        <v>147</v>
      </c>
      <c r="E30" s="4">
        <v>52009</v>
      </c>
      <c r="F30" s="5">
        <v>-207.31</v>
      </c>
      <c r="G30" s="9"/>
      <c r="H30" s="7"/>
      <c r="I30" s="17"/>
      <c r="J30" s="6">
        <v>52009</v>
      </c>
      <c r="K30" s="12">
        <v>-212.37071068291351</v>
      </c>
      <c r="M30">
        <f t="shared" si="0"/>
        <v>0</v>
      </c>
      <c r="N30" s="13">
        <f t="shared" si="1"/>
        <v>1.02</v>
      </c>
      <c r="P30" s="14" t="s">
        <v>117</v>
      </c>
    </row>
    <row r="31" spans="1:17" x14ac:dyDescent="0.25">
      <c r="A31" s="1" t="s">
        <v>165</v>
      </c>
      <c r="B31" s="1" t="s">
        <v>146</v>
      </c>
      <c r="C31" t="s">
        <v>147</v>
      </c>
      <c r="E31" s="4">
        <v>53125</v>
      </c>
      <c r="F31" s="5">
        <v>-31.7</v>
      </c>
      <c r="G31" s="9"/>
      <c r="H31" s="7"/>
      <c r="I31" s="17"/>
      <c r="J31" s="6">
        <v>53125</v>
      </c>
      <c r="K31" s="12">
        <v>-31.862128385335058</v>
      </c>
      <c r="M31">
        <f t="shared" si="0"/>
        <v>0</v>
      </c>
      <c r="N31" s="13">
        <f t="shared" si="1"/>
        <v>1.01</v>
      </c>
      <c r="P31" s="14" t="s">
        <v>117</v>
      </c>
    </row>
    <row r="32" spans="1:17" x14ac:dyDescent="0.25">
      <c r="A32" s="1" t="s">
        <v>166</v>
      </c>
      <c r="B32" s="1" t="s">
        <v>146</v>
      </c>
      <c r="C32" t="s">
        <v>147</v>
      </c>
      <c r="E32" s="4">
        <v>51747</v>
      </c>
      <c r="F32" s="5">
        <v>-40.92</v>
      </c>
      <c r="G32" s="9" t="s">
        <v>143</v>
      </c>
      <c r="H32" s="7"/>
      <c r="I32" s="17"/>
      <c r="J32" s="6">
        <v>51747</v>
      </c>
      <c r="K32" s="12">
        <v>-42.172354438890117</v>
      </c>
      <c r="M32">
        <f t="shared" si="0"/>
        <v>0</v>
      </c>
      <c r="N32" s="13">
        <f t="shared" si="1"/>
        <v>1.03</v>
      </c>
      <c r="P32" s="14" t="s">
        <v>117</v>
      </c>
    </row>
    <row r="33" spans="1:16" x14ac:dyDescent="0.25">
      <c r="A33" s="1" t="s">
        <v>167</v>
      </c>
      <c r="B33" s="1" t="s">
        <v>168</v>
      </c>
      <c r="C33" t="s">
        <v>169</v>
      </c>
      <c r="E33" s="4">
        <v>48385</v>
      </c>
      <c r="F33" s="5">
        <v>-64.790000000000006</v>
      </c>
      <c r="G33" s="9"/>
      <c r="H33" s="7"/>
      <c r="I33" s="17"/>
      <c r="J33" s="6">
        <v>48385</v>
      </c>
      <c r="K33" s="12">
        <v>-64.789444314936787</v>
      </c>
      <c r="M33">
        <f t="shared" si="0"/>
        <v>0</v>
      </c>
      <c r="N33" s="13">
        <f t="shared" si="1"/>
        <v>1</v>
      </c>
      <c r="P33" s="14" t="s">
        <v>117</v>
      </c>
    </row>
    <row r="34" spans="1:16" x14ac:dyDescent="0.25">
      <c r="A34" s="1" t="s">
        <v>47</v>
      </c>
      <c r="B34" s="1" t="s">
        <v>48</v>
      </c>
      <c r="C34" t="s">
        <v>49</v>
      </c>
      <c r="E34" s="4">
        <v>49253</v>
      </c>
      <c r="F34" s="5">
        <v>184213.29</v>
      </c>
      <c r="G34" s="9"/>
      <c r="H34" s="7"/>
      <c r="I34" s="17"/>
      <c r="J34" s="6">
        <v>49253</v>
      </c>
      <c r="K34" s="12">
        <v>181169.9774080553</v>
      </c>
      <c r="M34">
        <f t="shared" si="0"/>
        <v>0</v>
      </c>
      <c r="N34" s="13">
        <f t="shared" si="1"/>
        <v>0.98</v>
      </c>
      <c r="P34" s="14" t="s">
        <v>170</v>
      </c>
    </row>
    <row r="35" spans="1:16" x14ac:dyDescent="0.25">
      <c r="A35" s="1" t="s">
        <v>171</v>
      </c>
      <c r="B35" s="1" t="s">
        <v>48</v>
      </c>
      <c r="C35" t="s">
        <v>49</v>
      </c>
      <c r="E35" s="4">
        <v>50530</v>
      </c>
      <c r="F35" s="5">
        <v>-147.88999999999999</v>
      </c>
      <c r="G35" s="9"/>
      <c r="H35" s="7"/>
      <c r="I35" s="17"/>
      <c r="J35" s="6">
        <v>50530</v>
      </c>
      <c r="K35" s="12">
        <v>-147.88723945745781</v>
      </c>
      <c r="M35">
        <f t="shared" si="0"/>
        <v>0</v>
      </c>
      <c r="N35" s="13">
        <f t="shared" si="1"/>
        <v>1</v>
      </c>
      <c r="P35" s="14" t="s">
        <v>117</v>
      </c>
    </row>
    <row r="36" spans="1:16" x14ac:dyDescent="0.25">
      <c r="A36" s="1" t="s">
        <v>172</v>
      </c>
      <c r="B36" s="1" t="s">
        <v>48</v>
      </c>
      <c r="C36" t="s">
        <v>49</v>
      </c>
      <c r="E36" s="4">
        <v>52184</v>
      </c>
      <c r="F36" s="5">
        <v>-167.16</v>
      </c>
      <c r="G36" s="9"/>
      <c r="H36" s="7"/>
      <c r="I36" s="17"/>
      <c r="J36" s="6">
        <v>52184</v>
      </c>
      <c r="K36" s="12">
        <v>-167.16211300383901</v>
      </c>
      <c r="M36">
        <f t="shared" si="0"/>
        <v>0</v>
      </c>
      <c r="N36" s="13">
        <f t="shared" si="1"/>
        <v>1</v>
      </c>
      <c r="P36" s="14" t="s">
        <v>117</v>
      </c>
    </row>
    <row r="37" spans="1:16" x14ac:dyDescent="0.25">
      <c r="A37" s="1" t="s">
        <v>173</v>
      </c>
      <c r="B37" s="1" t="s">
        <v>48</v>
      </c>
      <c r="C37" t="s">
        <v>49</v>
      </c>
      <c r="E37" s="4">
        <v>54500</v>
      </c>
      <c r="F37" s="5">
        <v>-509.42</v>
      </c>
      <c r="G37" s="9"/>
      <c r="H37" s="7"/>
      <c r="I37" s="17"/>
      <c r="J37" s="6">
        <v>54500</v>
      </c>
      <c r="K37" s="12">
        <v>-509.42448449568599</v>
      </c>
      <c r="M37">
        <f t="shared" si="0"/>
        <v>0</v>
      </c>
      <c r="N37" s="13">
        <f t="shared" si="1"/>
        <v>1</v>
      </c>
      <c r="P37" s="14" t="s">
        <v>117</v>
      </c>
    </row>
    <row r="38" spans="1:16" x14ac:dyDescent="0.25">
      <c r="A38" s="1" t="s">
        <v>174</v>
      </c>
      <c r="B38" s="1" t="s">
        <v>48</v>
      </c>
      <c r="C38" t="s">
        <v>49</v>
      </c>
      <c r="E38" s="4">
        <v>46204</v>
      </c>
      <c r="F38" s="5">
        <v>-28.29</v>
      </c>
      <c r="G38" s="9"/>
      <c r="H38" s="7"/>
      <c r="I38" s="17"/>
      <c r="J38" s="6">
        <v>46204</v>
      </c>
      <c r="K38" s="12">
        <v>-28.288327011117421</v>
      </c>
      <c r="M38">
        <f t="shared" si="0"/>
        <v>0</v>
      </c>
      <c r="N38" s="13">
        <f t="shared" si="1"/>
        <v>1</v>
      </c>
      <c r="P38" s="14" t="s">
        <v>117</v>
      </c>
    </row>
    <row r="39" spans="1:16" x14ac:dyDescent="0.25">
      <c r="A39" s="1" t="s">
        <v>175</v>
      </c>
      <c r="B39" s="1" t="s">
        <v>48</v>
      </c>
      <c r="C39" t="s">
        <v>49</v>
      </c>
      <c r="E39" s="4">
        <v>49614</v>
      </c>
      <c r="F39" s="5">
        <v>-118.2</v>
      </c>
      <c r="G39" s="9"/>
      <c r="H39" s="7"/>
      <c r="I39" s="17"/>
      <c r="J39" s="6">
        <v>49614</v>
      </c>
      <c r="K39" s="12">
        <v>-118.2000121736511</v>
      </c>
      <c r="M39">
        <f t="shared" si="0"/>
        <v>0</v>
      </c>
      <c r="N39" s="13">
        <f t="shared" si="1"/>
        <v>1</v>
      </c>
      <c r="P39" s="14" t="s">
        <v>117</v>
      </c>
    </row>
    <row r="40" spans="1:16" x14ac:dyDescent="0.25">
      <c r="A40" s="1" t="s">
        <v>176</v>
      </c>
      <c r="B40" s="1" t="s">
        <v>48</v>
      </c>
      <c r="C40" t="s">
        <v>49</v>
      </c>
      <c r="E40" s="4">
        <v>47484</v>
      </c>
      <c r="F40" s="5">
        <v>-35.74</v>
      </c>
      <c r="G40" s="9"/>
      <c r="H40" s="7"/>
      <c r="I40" s="17"/>
      <c r="J40" s="6">
        <v>47484</v>
      </c>
      <c r="K40" s="12">
        <v>-35.738220497327227</v>
      </c>
      <c r="M40">
        <f t="shared" si="0"/>
        <v>0</v>
      </c>
      <c r="N40" s="13">
        <f t="shared" si="1"/>
        <v>1</v>
      </c>
      <c r="P40" s="14" t="s">
        <v>117</v>
      </c>
    </row>
    <row r="41" spans="1:16" x14ac:dyDescent="0.25">
      <c r="A41" s="1" t="s">
        <v>177</v>
      </c>
      <c r="B41" s="1" t="s">
        <v>48</v>
      </c>
      <c r="C41" t="s">
        <v>49</v>
      </c>
      <c r="E41" s="4">
        <v>54210</v>
      </c>
      <c r="F41" s="5">
        <v>-1.38</v>
      </c>
      <c r="G41" s="9"/>
      <c r="H41" s="7"/>
      <c r="I41" s="17"/>
      <c r="J41" s="6">
        <v>54210</v>
      </c>
      <c r="K41" s="12">
        <v>-1.375244229932989</v>
      </c>
      <c r="M41">
        <f t="shared" si="0"/>
        <v>0</v>
      </c>
      <c r="N41" s="13">
        <f t="shared" si="1"/>
        <v>1</v>
      </c>
      <c r="P41" s="14" t="s">
        <v>117</v>
      </c>
    </row>
    <row r="42" spans="1:16" x14ac:dyDescent="0.25">
      <c r="A42" s="1" t="s">
        <v>50</v>
      </c>
      <c r="B42" s="1" t="s">
        <v>51</v>
      </c>
      <c r="C42" t="s">
        <v>49</v>
      </c>
      <c r="E42" s="4">
        <v>60637</v>
      </c>
      <c r="F42" s="5">
        <v>66238.77</v>
      </c>
      <c r="H42"/>
      <c r="J42" s="6">
        <v>60637</v>
      </c>
      <c r="K42" s="12">
        <v>66228.204988359474</v>
      </c>
      <c r="M42">
        <f t="shared" si="0"/>
        <v>0</v>
      </c>
      <c r="N42" s="13">
        <f t="shared" si="1"/>
        <v>1</v>
      </c>
      <c r="P42" s="14" t="s">
        <v>117</v>
      </c>
    </row>
    <row r="43" spans="1:16" x14ac:dyDescent="0.25">
      <c r="A43" s="1" t="s">
        <v>178</v>
      </c>
      <c r="B43" s="1" t="s">
        <v>51</v>
      </c>
      <c r="C43" t="s">
        <v>49</v>
      </c>
      <c r="E43" s="4">
        <v>51105</v>
      </c>
      <c r="F43" s="5">
        <v>-166.36</v>
      </c>
      <c r="H43"/>
      <c r="J43" s="6">
        <v>51105</v>
      </c>
      <c r="K43" s="12">
        <v>-166.35779151836729</v>
      </c>
      <c r="M43">
        <f t="shared" si="0"/>
        <v>0</v>
      </c>
      <c r="N43" s="13">
        <f t="shared" si="1"/>
        <v>1</v>
      </c>
      <c r="P43" s="14" t="s">
        <v>117</v>
      </c>
    </row>
    <row r="44" spans="1:16" x14ac:dyDescent="0.25">
      <c r="A44" s="1" t="s">
        <v>179</v>
      </c>
      <c r="B44" s="1" t="s">
        <v>51</v>
      </c>
      <c r="C44" t="s">
        <v>49</v>
      </c>
      <c r="E44" s="4">
        <v>57906</v>
      </c>
      <c r="F44" s="5">
        <v>-50.99</v>
      </c>
      <c r="H44"/>
      <c r="J44" s="6">
        <v>57906</v>
      </c>
      <c r="K44" s="12">
        <v>-50.991024508743543</v>
      </c>
      <c r="M44">
        <f t="shared" si="0"/>
        <v>0</v>
      </c>
      <c r="N44" s="13">
        <f t="shared" si="1"/>
        <v>1</v>
      </c>
      <c r="P44" s="14" t="s">
        <v>117</v>
      </c>
    </row>
    <row r="45" spans="1:16" x14ac:dyDescent="0.25">
      <c r="A45" s="1" t="s">
        <v>180</v>
      </c>
      <c r="B45" s="1" t="s">
        <v>181</v>
      </c>
      <c r="C45" t="s">
        <v>182</v>
      </c>
      <c r="E45" s="4">
        <v>48329</v>
      </c>
      <c r="F45" s="5">
        <v>-12.44</v>
      </c>
      <c r="H45"/>
      <c r="J45" s="6">
        <v>48329</v>
      </c>
      <c r="K45" s="12">
        <v>-12.44009693501607</v>
      </c>
      <c r="M45">
        <f t="shared" si="0"/>
        <v>0</v>
      </c>
      <c r="N45" s="13">
        <f t="shared" si="1"/>
        <v>1</v>
      </c>
      <c r="P45" s="14" t="s">
        <v>117</v>
      </c>
    </row>
    <row r="46" spans="1:16" x14ac:dyDescent="0.25">
      <c r="A46" s="1" t="s">
        <v>183</v>
      </c>
      <c r="B46" s="1" t="s">
        <v>92</v>
      </c>
      <c r="C46" t="s">
        <v>93</v>
      </c>
      <c r="E46" s="4">
        <v>46791</v>
      </c>
      <c r="F46" s="5">
        <v>-15.07</v>
      </c>
      <c r="H46"/>
      <c r="J46" s="6">
        <v>46668</v>
      </c>
      <c r="K46" s="12">
        <v>-61.599061279079912</v>
      </c>
      <c r="M46">
        <f t="shared" si="0"/>
        <v>123</v>
      </c>
      <c r="N46" s="13">
        <f t="shared" si="1"/>
        <v>4.09</v>
      </c>
      <c r="P46" s="14" t="s">
        <v>117</v>
      </c>
    </row>
    <row r="47" spans="1:16" x14ac:dyDescent="0.25">
      <c r="A47" s="1" t="s">
        <v>184</v>
      </c>
      <c r="B47" s="1" t="s">
        <v>92</v>
      </c>
      <c r="C47" t="s">
        <v>93</v>
      </c>
      <c r="E47" s="4">
        <v>52850</v>
      </c>
      <c r="F47" s="5">
        <v>-166.31</v>
      </c>
      <c r="G47" s="10" t="s">
        <v>185</v>
      </c>
      <c r="H47"/>
      <c r="J47" s="6">
        <v>52057</v>
      </c>
      <c r="K47" s="12">
        <v>-188.2092953914586</v>
      </c>
      <c r="M47">
        <f t="shared" si="0"/>
        <v>793</v>
      </c>
      <c r="N47" s="13">
        <f t="shared" si="1"/>
        <v>1.1299999999999999</v>
      </c>
      <c r="P47" s="14" t="s">
        <v>117</v>
      </c>
    </row>
    <row r="48" spans="1:16" x14ac:dyDescent="0.25">
      <c r="A48" s="1" t="s">
        <v>186</v>
      </c>
      <c r="B48" s="1" t="s">
        <v>92</v>
      </c>
      <c r="C48" t="s">
        <v>93</v>
      </c>
      <c r="E48" s="4">
        <v>54820</v>
      </c>
      <c r="F48" s="5">
        <v>-942.67</v>
      </c>
      <c r="G48" s="10" t="s">
        <v>94</v>
      </c>
      <c r="H48"/>
      <c r="J48" s="6">
        <v>48030</v>
      </c>
      <c r="K48" s="12">
        <v>25901.75517640157</v>
      </c>
      <c r="M48">
        <f t="shared" si="0"/>
        <v>6790</v>
      </c>
      <c r="N48" s="13">
        <f t="shared" si="1"/>
        <v>-27.48</v>
      </c>
      <c r="P48" s="14" t="s">
        <v>117</v>
      </c>
    </row>
    <row r="49" spans="1:16" x14ac:dyDescent="0.25">
      <c r="A49" s="1" t="s">
        <v>187</v>
      </c>
      <c r="B49" s="1" t="s">
        <v>92</v>
      </c>
      <c r="C49" t="s">
        <v>93</v>
      </c>
      <c r="E49" s="4">
        <v>46487</v>
      </c>
      <c r="F49" s="5">
        <v>-56.5</v>
      </c>
      <c r="G49" s="10" t="s">
        <v>188</v>
      </c>
      <c r="H49"/>
      <c r="J49" s="6">
        <v>46397</v>
      </c>
      <c r="K49" s="12">
        <v>-11.684889315637619</v>
      </c>
      <c r="M49">
        <f t="shared" si="0"/>
        <v>90</v>
      </c>
      <c r="N49" s="13">
        <f t="shared" si="1"/>
        <v>0.21</v>
      </c>
      <c r="P49" s="14" t="s">
        <v>117</v>
      </c>
    </row>
    <row r="50" spans="1:16" x14ac:dyDescent="0.25">
      <c r="A50" s="1" t="s">
        <v>189</v>
      </c>
      <c r="B50" s="1" t="s">
        <v>92</v>
      </c>
      <c r="C50" t="s">
        <v>93</v>
      </c>
      <c r="E50" s="4">
        <v>47696</v>
      </c>
      <c r="F50" s="5">
        <v>-0.16</v>
      </c>
      <c r="H50"/>
      <c r="J50" s="6">
        <v>47696</v>
      </c>
      <c r="K50" s="12">
        <v>-0.20758880651018791</v>
      </c>
      <c r="M50">
        <f t="shared" si="0"/>
        <v>0</v>
      </c>
      <c r="N50" s="13">
        <f t="shared" si="1"/>
        <v>1.3</v>
      </c>
      <c r="P50" s="14" t="s">
        <v>117</v>
      </c>
    </row>
    <row r="51" spans="1:16" x14ac:dyDescent="0.25">
      <c r="A51" s="1" t="s">
        <v>91</v>
      </c>
      <c r="B51" s="1" t="s">
        <v>92</v>
      </c>
      <c r="C51" t="s">
        <v>93</v>
      </c>
      <c r="E51" s="4">
        <v>53002</v>
      </c>
      <c r="F51" s="5">
        <v>67448.81</v>
      </c>
      <c r="G51" s="10" t="s">
        <v>94</v>
      </c>
      <c r="H51"/>
      <c r="J51" s="6">
        <v>53002</v>
      </c>
      <c r="K51" s="12">
        <v>40273.56423469376</v>
      </c>
      <c r="M51">
        <f t="shared" si="0"/>
        <v>0</v>
      </c>
      <c r="N51" s="13">
        <f t="shared" si="1"/>
        <v>0.6</v>
      </c>
      <c r="P51" s="14" t="s">
        <v>170</v>
      </c>
    </row>
    <row r="52" spans="1:16" x14ac:dyDescent="0.25">
      <c r="A52" s="1" t="s">
        <v>190</v>
      </c>
      <c r="B52" s="1" t="s">
        <v>92</v>
      </c>
      <c r="C52" t="s">
        <v>93</v>
      </c>
      <c r="E52" s="4">
        <v>53475</v>
      </c>
      <c r="F52" s="5">
        <v>-1.63</v>
      </c>
      <c r="H52"/>
      <c r="J52" s="6">
        <v>53475</v>
      </c>
      <c r="K52" s="12">
        <v>-2.1701991166176562</v>
      </c>
      <c r="M52">
        <f t="shared" si="0"/>
        <v>0</v>
      </c>
      <c r="N52" s="13">
        <f t="shared" si="1"/>
        <v>1.33</v>
      </c>
      <c r="P52" s="14" t="s">
        <v>117</v>
      </c>
    </row>
    <row r="53" spans="1:16" x14ac:dyDescent="0.25">
      <c r="A53" s="1" t="s">
        <v>191</v>
      </c>
      <c r="B53" s="1" t="s">
        <v>92</v>
      </c>
      <c r="C53" t="s">
        <v>93</v>
      </c>
      <c r="E53" s="4">
        <v>49039</v>
      </c>
      <c r="F53" s="5">
        <v>-18.649999999999999</v>
      </c>
      <c r="H53"/>
      <c r="J53" s="6">
        <v>49039</v>
      </c>
      <c r="K53" s="12">
        <v>-18.766961758147271</v>
      </c>
      <c r="M53">
        <f t="shared" si="0"/>
        <v>0</v>
      </c>
      <c r="N53" s="13">
        <f t="shared" si="1"/>
        <v>1.01</v>
      </c>
      <c r="P53" s="14" t="s">
        <v>117</v>
      </c>
    </row>
    <row r="54" spans="1:16" x14ac:dyDescent="0.25">
      <c r="A54" s="1" t="s">
        <v>192</v>
      </c>
      <c r="B54" s="1" t="s">
        <v>92</v>
      </c>
      <c r="C54" t="s">
        <v>93</v>
      </c>
      <c r="E54" s="4">
        <v>51028</v>
      </c>
      <c r="F54" s="5">
        <v>-15.76</v>
      </c>
      <c r="H54"/>
      <c r="J54" s="6">
        <v>51028</v>
      </c>
      <c r="K54" s="12">
        <v>-15.989495914723859</v>
      </c>
      <c r="M54">
        <f t="shared" si="0"/>
        <v>0</v>
      </c>
      <c r="N54" s="13">
        <f t="shared" si="1"/>
        <v>1.01</v>
      </c>
      <c r="P54" s="14" t="s">
        <v>117</v>
      </c>
    </row>
    <row r="55" spans="1:16" x14ac:dyDescent="0.25">
      <c r="A55" s="1" t="s">
        <v>193</v>
      </c>
      <c r="B55" s="1" t="s">
        <v>92</v>
      </c>
      <c r="C55" t="s">
        <v>93</v>
      </c>
      <c r="E55" s="4">
        <v>46791</v>
      </c>
      <c r="F55" s="5">
        <v>-206.49</v>
      </c>
      <c r="H55"/>
      <c r="J55" s="6">
        <v>46729</v>
      </c>
      <c r="K55" s="12">
        <v>-292.01263977117782</v>
      </c>
      <c r="M55">
        <f t="shared" si="0"/>
        <v>62</v>
      </c>
      <c r="N55" s="13">
        <f t="shared" si="1"/>
        <v>1.41</v>
      </c>
      <c r="P55" s="14" t="s">
        <v>117</v>
      </c>
    </row>
    <row r="56" spans="1:16" x14ac:dyDescent="0.25">
      <c r="A56" s="1" t="s">
        <v>194</v>
      </c>
      <c r="B56" s="1" t="s">
        <v>92</v>
      </c>
      <c r="C56" t="s">
        <v>93</v>
      </c>
      <c r="E56" s="4">
        <v>46319</v>
      </c>
      <c r="F56" s="5">
        <v>-116.6</v>
      </c>
      <c r="G56" s="10" t="s">
        <v>94</v>
      </c>
      <c r="H56"/>
      <c r="J56" s="6">
        <v>46289</v>
      </c>
      <c r="K56" s="12">
        <v>-99.483228940280611</v>
      </c>
      <c r="M56">
        <f t="shared" si="0"/>
        <v>30</v>
      </c>
      <c r="N56" s="13">
        <f t="shared" si="1"/>
        <v>0.85</v>
      </c>
      <c r="P56" s="14" t="s">
        <v>117</v>
      </c>
    </row>
    <row r="57" spans="1:16" x14ac:dyDescent="0.25">
      <c r="A57" s="1" t="s">
        <v>195</v>
      </c>
      <c r="B57" s="1" t="s">
        <v>92</v>
      </c>
      <c r="C57" t="s">
        <v>93</v>
      </c>
      <c r="E57" s="4">
        <v>47858</v>
      </c>
      <c r="F57" s="5">
        <v>-9.5</v>
      </c>
      <c r="G57" s="10" t="s">
        <v>196</v>
      </c>
      <c r="H57"/>
      <c r="J57" s="6">
        <v>47218</v>
      </c>
      <c r="K57" s="12">
        <v>-15.594300010326521</v>
      </c>
      <c r="M57">
        <f t="shared" si="0"/>
        <v>640</v>
      </c>
      <c r="N57" s="13">
        <f t="shared" si="1"/>
        <v>1.64</v>
      </c>
      <c r="P57" s="14" t="s">
        <v>170</v>
      </c>
    </row>
    <row r="58" spans="1:16" x14ac:dyDescent="0.25">
      <c r="A58" s="1" t="s">
        <v>197</v>
      </c>
      <c r="B58" s="1" t="s">
        <v>92</v>
      </c>
      <c r="C58" t="s">
        <v>93</v>
      </c>
      <c r="E58" s="4">
        <v>52453</v>
      </c>
      <c r="F58" s="5">
        <v>-71.709999999999994</v>
      </c>
      <c r="G58" s="10" t="s">
        <v>198</v>
      </c>
      <c r="H58"/>
      <c r="J58" s="6">
        <v>51389</v>
      </c>
      <c r="K58" s="12">
        <v>-23.328873375129181</v>
      </c>
      <c r="M58">
        <f t="shared" si="0"/>
        <v>1064</v>
      </c>
      <c r="N58" s="13">
        <f t="shared" si="1"/>
        <v>0.33</v>
      </c>
      <c r="P58" s="14"/>
    </row>
    <row r="59" spans="1:16" x14ac:dyDescent="0.25">
      <c r="A59" s="1" t="s">
        <v>199</v>
      </c>
      <c r="B59" s="1" t="s">
        <v>92</v>
      </c>
      <c r="C59" t="s">
        <v>93</v>
      </c>
      <c r="E59" s="4">
        <v>47524</v>
      </c>
      <c r="F59" s="5">
        <v>-54.25</v>
      </c>
      <c r="G59" s="10" t="s">
        <v>185</v>
      </c>
      <c r="H59"/>
      <c r="J59" s="6">
        <v>47401</v>
      </c>
      <c r="K59" s="12">
        <v>-35.026564271261208</v>
      </c>
      <c r="M59">
        <f t="shared" si="0"/>
        <v>123</v>
      </c>
      <c r="N59" s="13">
        <f t="shared" si="1"/>
        <v>0.65</v>
      </c>
      <c r="P59" s="14" t="s">
        <v>117</v>
      </c>
    </row>
    <row r="60" spans="1:16" x14ac:dyDescent="0.25">
      <c r="A60" s="1" t="s">
        <v>200</v>
      </c>
      <c r="B60" s="1" t="s">
        <v>92</v>
      </c>
      <c r="C60" t="s">
        <v>93</v>
      </c>
      <c r="E60" s="4">
        <v>47158</v>
      </c>
      <c r="F60" s="5">
        <v>-19.079999999999998</v>
      </c>
      <c r="H60"/>
      <c r="J60" s="6">
        <v>46943</v>
      </c>
      <c r="K60" s="12">
        <v>-107.79690941928661</v>
      </c>
      <c r="M60">
        <f t="shared" si="0"/>
        <v>215</v>
      </c>
      <c r="N60" s="13">
        <f t="shared" si="1"/>
        <v>5.65</v>
      </c>
      <c r="P60" s="14" t="s">
        <v>117</v>
      </c>
    </row>
    <row r="61" spans="1:16" x14ac:dyDescent="0.25">
      <c r="A61" s="1" t="s">
        <v>201</v>
      </c>
      <c r="B61" s="1" t="s">
        <v>92</v>
      </c>
      <c r="C61" t="s">
        <v>93</v>
      </c>
      <c r="E61" s="4">
        <v>48101</v>
      </c>
      <c r="F61" s="5">
        <v>-98.02</v>
      </c>
      <c r="H61"/>
      <c r="J61" s="6">
        <v>47736</v>
      </c>
      <c r="K61" s="12">
        <v>-198.22702258346871</v>
      </c>
      <c r="M61">
        <f t="shared" si="0"/>
        <v>365</v>
      </c>
      <c r="N61" s="13">
        <f t="shared" si="1"/>
        <v>2.02</v>
      </c>
      <c r="P61" s="14" t="s">
        <v>117</v>
      </c>
    </row>
    <row r="62" spans="1:16" x14ac:dyDescent="0.25">
      <c r="A62" s="1" t="s">
        <v>95</v>
      </c>
      <c r="B62" s="1" t="s">
        <v>92</v>
      </c>
      <c r="C62" t="s">
        <v>93</v>
      </c>
      <c r="E62" s="4">
        <v>57763</v>
      </c>
      <c r="F62" s="5">
        <v>129172.75</v>
      </c>
      <c r="H62"/>
      <c r="J62" s="6">
        <v>57763</v>
      </c>
      <c r="K62" s="12">
        <v>124334.9136194428</v>
      </c>
      <c r="M62">
        <f t="shared" si="0"/>
        <v>0</v>
      </c>
      <c r="N62" s="13">
        <f t="shared" si="1"/>
        <v>0.96</v>
      </c>
      <c r="P62" s="14" t="s">
        <v>170</v>
      </c>
    </row>
    <row r="63" spans="1:16" x14ac:dyDescent="0.25">
      <c r="A63" s="1" t="s">
        <v>202</v>
      </c>
      <c r="B63" s="1" t="s">
        <v>92</v>
      </c>
      <c r="C63" t="s">
        <v>93</v>
      </c>
      <c r="E63" s="4">
        <v>46415</v>
      </c>
      <c r="F63" s="5">
        <v>-8.6</v>
      </c>
      <c r="G63" s="10" t="s">
        <v>94</v>
      </c>
      <c r="H63"/>
      <c r="J63" s="6">
        <v>46415</v>
      </c>
      <c r="K63" s="12">
        <v>-8.6240510455805008</v>
      </c>
      <c r="M63">
        <f t="shared" si="0"/>
        <v>0</v>
      </c>
      <c r="N63" s="13">
        <f t="shared" si="1"/>
        <v>1</v>
      </c>
      <c r="P63" s="14" t="s">
        <v>117</v>
      </c>
    </row>
    <row r="64" spans="1:16" x14ac:dyDescent="0.25">
      <c r="A64" s="1" t="s">
        <v>203</v>
      </c>
      <c r="B64" s="1" t="s">
        <v>92</v>
      </c>
      <c r="C64" t="s">
        <v>93</v>
      </c>
      <c r="E64" s="4">
        <v>51006</v>
      </c>
      <c r="F64" s="5">
        <v>-91.98</v>
      </c>
      <c r="H64"/>
      <c r="J64" s="6">
        <v>50519</v>
      </c>
      <c r="K64" s="12">
        <v>-297.00458295496469</v>
      </c>
      <c r="M64">
        <f t="shared" si="0"/>
        <v>487</v>
      </c>
      <c r="N64" s="13">
        <f t="shared" si="1"/>
        <v>3.23</v>
      </c>
      <c r="P64" s="14" t="s">
        <v>117</v>
      </c>
    </row>
    <row r="65" spans="1:17" x14ac:dyDescent="0.25">
      <c r="A65" s="1" t="s">
        <v>204</v>
      </c>
      <c r="B65" s="1" t="s">
        <v>92</v>
      </c>
      <c r="C65" t="s">
        <v>93</v>
      </c>
      <c r="E65" s="4">
        <v>46411</v>
      </c>
      <c r="F65" s="5">
        <v>-18.79</v>
      </c>
      <c r="H65"/>
      <c r="J65" s="6">
        <v>46411</v>
      </c>
      <c r="K65" s="12">
        <v>-232.5930997234484</v>
      </c>
      <c r="M65">
        <f t="shared" si="0"/>
        <v>0</v>
      </c>
      <c r="N65" s="13">
        <f t="shared" si="1"/>
        <v>12.38</v>
      </c>
      <c r="P65" s="14" t="s">
        <v>117</v>
      </c>
    </row>
    <row r="66" spans="1:17" x14ac:dyDescent="0.25">
      <c r="A66" s="1" t="s">
        <v>205</v>
      </c>
      <c r="B66" s="1" t="s">
        <v>92</v>
      </c>
      <c r="C66" t="s">
        <v>93</v>
      </c>
      <c r="E66" s="4">
        <v>50164</v>
      </c>
      <c r="F66" s="5">
        <v>-152.21</v>
      </c>
      <c r="H66"/>
      <c r="J66" s="6">
        <v>50164</v>
      </c>
      <c r="K66" s="12">
        <v>-153.42337803969141</v>
      </c>
      <c r="M66">
        <f t="shared" ref="M66:M129" si="2">E66-J66</f>
        <v>0</v>
      </c>
      <c r="N66" s="13">
        <f t="shared" ref="N66:N129" si="3">ROUND(K66/F66,2)</f>
        <v>1.01</v>
      </c>
      <c r="P66" s="14" t="s">
        <v>117</v>
      </c>
    </row>
    <row r="67" spans="1:17" x14ac:dyDescent="0.25">
      <c r="A67" s="1" t="s">
        <v>206</v>
      </c>
      <c r="B67" s="1" t="s">
        <v>92</v>
      </c>
      <c r="C67" t="s">
        <v>93</v>
      </c>
      <c r="E67" s="4">
        <v>50992</v>
      </c>
      <c r="F67" s="5">
        <v>-125.74</v>
      </c>
      <c r="G67" s="10" t="s">
        <v>185</v>
      </c>
      <c r="H67"/>
      <c r="J67" s="6">
        <v>50535</v>
      </c>
      <c r="K67" s="12">
        <v>-131.82156795184801</v>
      </c>
      <c r="M67">
        <f t="shared" si="2"/>
        <v>457</v>
      </c>
      <c r="N67" s="13">
        <f t="shared" si="3"/>
        <v>1.05</v>
      </c>
      <c r="P67" s="14" t="s">
        <v>117</v>
      </c>
    </row>
    <row r="68" spans="1:17" x14ac:dyDescent="0.25">
      <c r="A68" s="1" t="s">
        <v>207</v>
      </c>
      <c r="B68" s="1" t="s">
        <v>92</v>
      </c>
      <c r="C68" t="s">
        <v>93</v>
      </c>
      <c r="E68" s="4">
        <v>51081</v>
      </c>
      <c r="F68" s="5">
        <v>-138.11000000000001</v>
      </c>
      <c r="H68"/>
      <c r="J68" s="6">
        <v>50290</v>
      </c>
      <c r="K68" s="12">
        <v>-93.450461619338142</v>
      </c>
      <c r="M68">
        <f t="shared" si="2"/>
        <v>791</v>
      </c>
      <c r="N68" s="13">
        <f t="shared" si="3"/>
        <v>0.68</v>
      </c>
      <c r="P68" s="14" t="s">
        <v>117</v>
      </c>
    </row>
    <row r="69" spans="1:17" x14ac:dyDescent="0.25">
      <c r="A69" s="1" t="s">
        <v>208</v>
      </c>
      <c r="B69" s="1" t="s">
        <v>92</v>
      </c>
      <c r="C69" t="s">
        <v>93</v>
      </c>
      <c r="E69" s="4">
        <v>49534</v>
      </c>
      <c r="F69" s="5">
        <v>-33.07</v>
      </c>
      <c r="G69" s="10" t="s">
        <v>188</v>
      </c>
      <c r="H69"/>
      <c r="J69" s="6">
        <v>48896</v>
      </c>
      <c r="K69" s="12">
        <v>-73.906308720128678</v>
      </c>
      <c r="M69">
        <f t="shared" si="2"/>
        <v>638</v>
      </c>
      <c r="N69" s="13">
        <f t="shared" si="3"/>
        <v>2.23</v>
      </c>
      <c r="P69" s="14" t="s">
        <v>117</v>
      </c>
    </row>
    <row r="70" spans="1:17" x14ac:dyDescent="0.25">
      <c r="A70" s="1" t="s">
        <v>209</v>
      </c>
      <c r="B70" s="1" t="s">
        <v>92</v>
      </c>
      <c r="C70" t="s">
        <v>93</v>
      </c>
      <c r="E70" s="4">
        <v>49365</v>
      </c>
      <c r="F70" s="5">
        <v>-47.47</v>
      </c>
      <c r="G70" s="10" t="s">
        <v>188</v>
      </c>
      <c r="H70"/>
      <c r="J70" s="6">
        <v>48724</v>
      </c>
      <c r="K70" s="12">
        <v>-54.067512619185869</v>
      </c>
      <c r="M70">
        <f t="shared" si="2"/>
        <v>641</v>
      </c>
      <c r="N70" s="13">
        <f t="shared" si="3"/>
        <v>1.1399999999999999</v>
      </c>
      <c r="P70" s="14" t="s">
        <v>117</v>
      </c>
    </row>
    <row r="71" spans="1:17" x14ac:dyDescent="0.25">
      <c r="A71" s="1" t="s">
        <v>210</v>
      </c>
      <c r="B71" s="1" t="s">
        <v>92</v>
      </c>
      <c r="C71" t="s">
        <v>93</v>
      </c>
      <c r="E71" s="4">
        <v>48474</v>
      </c>
      <c r="F71" s="5">
        <v>-14.89</v>
      </c>
      <c r="H71"/>
      <c r="J71" s="6">
        <v>47347</v>
      </c>
      <c r="K71" s="12">
        <v>-24.663129017101308</v>
      </c>
      <c r="M71">
        <f t="shared" si="2"/>
        <v>1127</v>
      </c>
      <c r="N71" s="13">
        <f t="shared" si="3"/>
        <v>1.66</v>
      </c>
      <c r="P71" s="14" t="s">
        <v>117</v>
      </c>
    </row>
    <row r="72" spans="1:17" x14ac:dyDescent="0.25">
      <c r="A72" s="1" t="s">
        <v>211</v>
      </c>
      <c r="B72" s="1" t="s">
        <v>92</v>
      </c>
      <c r="C72" t="s">
        <v>93</v>
      </c>
      <c r="E72" s="4">
        <v>46702</v>
      </c>
      <c r="F72" s="5">
        <v>-6.42</v>
      </c>
      <c r="G72" s="10" t="s">
        <v>212</v>
      </c>
      <c r="H72"/>
      <c r="J72" s="6">
        <v>46457</v>
      </c>
      <c r="K72" s="12">
        <v>-10.65163450440423</v>
      </c>
      <c r="M72">
        <f t="shared" si="2"/>
        <v>245</v>
      </c>
      <c r="N72" s="13">
        <f t="shared" si="3"/>
        <v>1.66</v>
      </c>
      <c r="P72" s="14" t="s">
        <v>117</v>
      </c>
    </row>
    <row r="73" spans="1:17" x14ac:dyDescent="0.25">
      <c r="A73" s="1" t="s">
        <v>213</v>
      </c>
      <c r="B73" s="1" t="s">
        <v>92</v>
      </c>
      <c r="C73" t="s">
        <v>93</v>
      </c>
      <c r="E73" s="4">
        <v>48083</v>
      </c>
      <c r="F73" s="5">
        <v>-42.89</v>
      </c>
      <c r="H73"/>
      <c r="J73" s="6">
        <v>47626</v>
      </c>
      <c r="K73" s="12">
        <v>-15.40201831641866</v>
      </c>
      <c r="M73">
        <f t="shared" si="2"/>
        <v>457</v>
      </c>
      <c r="N73" s="13">
        <f t="shared" si="3"/>
        <v>0.36</v>
      </c>
      <c r="P73" s="14" t="s">
        <v>117</v>
      </c>
    </row>
    <row r="74" spans="1:17" x14ac:dyDescent="0.25">
      <c r="A74" s="1" t="s">
        <v>96</v>
      </c>
      <c r="B74" s="1" t="s">
        <v>92</v>
      </c>
      <c r="C74" t="s">
        <v>93</v>
      </c>
      <c r="E74" s="4">
        <v>56029</v>
      </c>
      <c r="F74" s="5">
        <v>-99.81</v>
      </c>
      <c r="H74" s="10" t="s">
        <v>817</v>
      </c>
      <c r="J74" s="6">
        <v>54752</v>
      </c>
      <c r="K74" s="12">
        <v>-151.6436319669028</v>
      </c>
      <c r="M74">
        <f t="shared" si="2"/>
        <v>1277</v>
      </c>
      <c r="N74" s="13">
        <f t="shared" si="3"/>
        <v>1.52</v>
      </c>
      <c r="P74" s="14" t="s">
        <v>819</v>
      </c>
      <c r="Q74" t="s">
        <v>214</v>
      </c>
    </row>
    <row r="75" spans="1:17" x14ac:dyDescent="0.25">
      <c r="A75" s="1" t="s">
        <v>97</v>
      </c>
      <c r="B75" s="1" t="s">
        <v>92</v>
      </c>
      <c r="C75" t="s">
        <v>93</v>
      </c>
      <c r="E75" s="4">
        <v>57911</v>
      </c>
      <c r="F75" s="5">
        <v>27121.360000000001</v>
      </c>
      <c r="H75"/>
      <c r="J75" s="6">
        <v>57911</v>
      </c>
      <c r="K75" s="12">
        <v>26662.24893460446</v>
      </c>
      <c r="M75">
        <f t="shared" si="2"/>
        <v>0</v>
      </c>
      <c r="N75" s="13">
        <f t="shared" si="3"/>
        <v>0.98</v>
      </c>
      <c r="P75" s="14" t="s">
        <v>170</v>
      </c>
    </row>
    <row r="76" spans="1:17" x14ac:dyDescent="0.25">
      <c r="A76" s="1" t="s">
        <v>215</v>
      </c>
      <c r="B76" s="1" t="s">
        <v>92</v>
      </c>
      <c r="C76" t="s">
        <v>93</v>
      </c>
      <c r="E76" s="4">
        <v>46997</v>
      </c>
      <c r="F76" s="5">
        <v>-12.69</v>
      </c>
      <c r="H76"/>
      <c r="J76" s="6">
        <v>46997</v>
      </c>
      <c r="K76" s="12">
        <v>-12.75012967570532</v>
      </c>
      <c r="M76">
        <f t="shared" si="2"/>
        <v>0</v>
      </c>
      <c r="N76" s="13">
        <f t="shared" si="3"/>
        <v>1</v>
      </c>
      <c r="P76" s="14" t="s">
        <v>117</v>
      </c>
    </row>
    <row r="77" spans="1:17" x14ac:dyDescent="0.25">
      <c r="A77" s="1" t="s">
        <v>216</v>
      </c>
      <c r="B77" s="1" t="s">
        <v>92</v>
      </c>
      <c r="C77" t="s">
        <v>93</v>
      </c>
      <c r="E77" s="4">
        <v>53281</v>
      </c>
      <c r="F77" s="5">
        <v>-76.86</v>
      </c>
      <c r="H77"/>
      <c r="J77" s="6">
        <v>50420</v>
      </c>
      <c r="K77" s="12">
        <v>4825.1790269209596</v>
      </c>
      <c r="M77">
        <f t="shared" si="2"/>
        <v>2861</v>
      </c>
      <c r="N77" s="13">
        <f t="shared" si="3"/>
        <v>-62.78</v>
      </c>
      <c r="P77" s="14" t="s">
        <v>217</v>
      </c>
    </row>
    <row r="78" spans="1:17" x14ac:dyDescent="0.25">
      <c r="A78" s="1" t="s">
        <v>218</v>
      </c>
      <c r="B78" s="1" t="s">
        <v>92</v>
      </c>
      <c r="C78" t="s">
        <v>93</v>
      </c>
      <c r="E78" s="4">
        <v>49754</v>
      </c>
      <c r="F78" s="5">
        <v>-36.119999999999997</v>
      </c>
      <c r="G78" s="10" t="s">
        <v>94</v>
      </c>
      <c r="H78"/>
      <c r="J78" s="6">
        <v>49054</v>
      </c>
      <c r="K78" s="12">
        <v>-13.472349571512719</v>
      </c>
      <c r="M78">
        <f t="shared" si="2"/>
        <v>700</v>
      </c>
      <c r="N78" s="13">
        <f t="shared" si="3"/>
        <v>0.37</v>
      </c>
      <c r="P78" s="14" t="s">
        <v>117</v>
      </c>
    </row>
    <row r="79" spans="1:17" x14ac:dyDescent="0.25">
      <c r="A79" s="1" t="s">
        <v>98</v>
      </c>
      <c r="B79" s="1" t="s">
        <v>92</v>
      </c>
      <c r="C79" t="s">
        <v>93</v>
      </c>
      <c r="E79" s="4">
        <v>52432</v>
      </c>
      <c r="F79" s="5">
        <v>116029.83</v>
      </c>
      <c r="H79"/>
      <c r="J79" s="6">
        <v>52432</v>
      </c>
      <c r="K79" s="12">
        <v>112584.2775387334</v>
      </c>
      <c r="M79">
        <f t="shared" si="2"/>
        <v>0</v>
      </c>
      <c r="N79" s="13">
        <f t="shared" si="3"/>
        <v>0.97</v>
      </c>
      <c r="P79" s="14" t="s">
        <v>170</v>
      </c>
    </row>
    <row r="80" spans="1:17" x14ac:dyDescent="0.25">
      <c r="A80" s="1" t="s">
        <v>219</v>
      </c>
      <c r="B80" s="1" t="s">
        <v>92</v>
      </c>
      <c r="C80" t="s">
        <v>93</v>
      </c>
      <c r="E80" s="4">
        <v>50870</v>
      </c>
      <c r="F80" s="5">
        <v>-23.88</v>
      </c>
      <c r="G80" s="10" t="s">
        <v>94</v>
      </c>
      <c r="H80"/>
      <c r="J80" s="6">
        <v>50415</v>
      </c>
      <c r="K80" s="12">
        <v>-92.161404813815636</v>
      </c>
      <c r="M80">
        <f t="shared" si="2"/>
        <v>455</v>
      </c>
      <c r="N80" s="13">
        <f t="shared" si="3"/>
        <v>3.86</v>
      </c>
      <c r="P80" s="14" t="s">
        <v>161</v>
      </c>
      <c r="Q80" t="s">
        <v>220</v>
      </c>
    </row>
    <row r="81" spans="1:17" x14ac:dyDescent="0.25">
      <c r="A81" s="1" t="s">
        <v>221</v>
      </c>
      <c r="B81" s="1" t="s">
        <v>92</v>
      </c>
      <c r="C81" t="s">
        <v>93</v>
      </c>
      <c r="E81" s="4">
        <v>47520</v>
      </c>
      <c r="F81" s="5">
        <v>-67.34</v>
      </c>
      <c r="H81"/>
      <c r="J81" s="6">
        <v>47183</v>
      </c>
      <c r="K81" s="12">
        <v>-40.51645076503744</v>
      </c>
      <c r="M81">
        <f t="shared" si="2"/>
        <v>337</v>
      </c>
      <c r="N81" s="13">
        <f t="shared" si="3"/>
        <v>0.6</v>
      </c>
      <c r="P81" s="14" t="s">
        <v>117</v>
      </c>
    </row>
    <row r="82" spans="1:17" x14ac:dyDescent="0.25">
      <c r="A82" s="1" t="s">
        <v>222</v>
      </c>
      <c r="B82" s="1" t="s">
        <v>92</v>
      </c>
      <c r="C82" t="s">
        <v>93</v>
      </c>
      <c r="E82" s="4">
        <v>53344</v>
      </c>
      <c r="F82" s="5">
        <v>-99.21</v>
      </c>
      <c r="G82" s="10" t="s">
        <v>223</v>
      </c>
      <c r="H82"/>
      <c r="J82" s="6">
        <v>51730</v>
      </c>
      <c r="K82" s="12">
        <v>-15.45969945989296</v>
      </c>
      <c r="M82">
        <f t="shared" si="2"/>
        <v>1614</v>
      </c>
      <c r="N82" s="13">
        <f t="shared" si="3"/>
        <v>0.16</v>
      </c>
      <c r="P82" s="14"/>
    </row>
    <row r="83" spans="1:17" x14ac:dyDescent="0.25">
      <c r="A83" s="1" t="s">
        <v>224</v>
      </c>
      <c r="B83" s="1" t="s">
        <v>92</v>
      </c>
      <c r="C83" t="s">
        <v>93</v>
      </c>
      <c r="E83" s="4">
        <v>49258</v>
      </c>
      <c r="F83" s="5">
        <v>2880.49</v>
      </c>
      <c r="H83"/>
      <c r="J83" s="6">
        <v>48101</v>
      </c>
      <c r="K83" s="12">
        <v>-79.240304896616067</v>
      </c>
      <c r="M83">
        <f t="shared" si="2"/>
        <v>1157</v>
      </c>
      <c r="N83" s="13">
        <f t="shared" si="3"/>
        <v>-0.03</v>
      </c>
      <c r="P83" s="14" t="s">
        <v>117</v>
      </c>
    </row>
    <row r="84" spans="1:17" x14ac:dyDescent="0.25">
      <c r="A84" s="1" t="s">
        <v>225</v>
      </c>
      <c r="B84" s="1" t="s">
        <v>92</v>
      </c>
      <c r="C84" t="s">
        <v>93</v>
      </c>
      <c r="E84" s="4">
        <v>48563</v>
      </c>
      <c r="F84" s="5">
        <v>-164.75</v>
      </c>
      <c r="H84" s="10" t="s">
        <v>820</v>
      </c>
      <c r="J84" s="6">
        <v>48837</v>
      </c>
      <c r="K84" s="12">
        <v>-475.14590555839129</v>
      </c>
      <c r="M84">
        <f t="shared" si="2"/>
        <v>-274</v>
      </c>
      <c r="N84" s="13">
        <f t="shared" si="3"/>
        <v>2.88</v>
      </c>
      <c r="P84" s="14" t="s">
        <v>819</v>
      </c>
      <c r="Q84" t="s">
        <v>226</v>
      </c>
    </row>
    <row r="85" spans="1:17" x14ac:dyDescent="0.25">
      <c r="A85" s="1" t="s">
        <v>227</v>
      </c>
      <c r="B85" s="1" t="s">
        <v>92</v>
      </c>
      <c r="C85" t="s">
        <v>93</v>
      </c>
      <c r="E85" s="4">
        <v>47003</v>
      </c>
      <c r="F85" s="5">
        <v>-242.06</v>
      </c>
      <c r="G85" s="10" t="s">
        <v>94</v>
      </c>
      <c r="H85"/>
      <c r="J85" s="6">
        <v>46880</v>
      </c>
      <c r="K85" s="12">
        <v>-284.88583523214072</v>
      </c>
      <c r="M85">
        <f t="shared" si="2"/>
        <v>123</v>
      </c>
      <c r="N85" s="13">
        <f t="shared" si="3"/>
        <v>1.18</v>
      </c>
      <c r="P85" s="14" t="s">
        <v>117</v>
      </c>
    </row>
    <row r="86" spans="1:17" x14ac:dyDescent="0.25">
      <c r="A86" s="1" t="s">
        <v>228</v>
      </c>
      <c r="B86" s="1" t="s">
        <v>92</v>
      </c>
      <c r="C86" t="s">
        <v>93</v>
      </c>
      <c r="E86" s="4">
        <v>49135</v>
      </c>
      <c r="F86" s="5">
        <v>-383.29</v>
      </c>
      <c r="G86" s="10" t="s">
        <v>185</v>
      </c>
      <c r="H86"/>
      <c r="J86" s="6">
        <v>48801</v>
      </c>
      <c r="K86" s="12">
        <v>-433.86883384573508</v>
      </c>
      <c r="M86">
        <f t="shared" si="2"/>
        <v>334</v>
      </c>
      <c r="N86" s="13">
        <f t="shared" si="3"/>
        <v>1.1299999999999999</v>
      </c>
      <c r="P86" s="14" t="s">
        <v>117</v>
      </c>
    </row>
    <row r="87" spans="1:17" x14ac:dyDescent="0.25">
      <c r="A87" s="1" t="s">
        <v>229</v>
      </c>
      <c r="B87" s="1" t="s">
        <v>92</v>
      </c>
      <c r="C87" t="s">
        <v>93</v>
      </c>
      <c r="E87" s="4">
        <v>51570</v>
      </c>
      <c r="F87" s="5">
        <v>-151.32</v>
      </c>
      <c r="H87"/>
      <c r="J87" s="6">
        <v>51570</v>
      </c>
      <c r="K87" s="12">
        <v>-153.50186786633461</v>
      </c>
      <c r="M87">
        <f t="shared" si="2"/>
        <v>0</v>
      </c>
      <c r="N87" s="13">
        <f t="shared" si="3"/>
        <v>1.01</v>
      </c>
      <c r="P87" s="14" t="s">
        <v>117</v>
      </c>
    </row>
    <row r="88" spans="1:17" x14ac:dyDescent="0.25">
      <c r="A88" s="1" t="s">
        <v>230</v>
      </c>
      <c r="B88" s="1" t="s">
        <v>92</v>
      </c>
      <c r="C88" t="s">
        <v>93</v>
      </c>
      <c r="E88" s="4">
        <v>50505</v>
      </c>
      <c r="F88" s="5">
        <v>-496.18</v>
      </c>
      <c r="G88" s="10" t="s">
        <v>94</v>
      </c>
      <c r="H88"/>
      <c r="J88" s="6">
        <v>49928</v>
      </c>
      <c r="K88" s="12">
        <v>-185.60796192654641</v>
      </c>
      <c r="M88">
        <f t="shared" si="2"/>
        <v>577</v>
      </c>
      <c r="N88" s="13">
        <f t="shared" si="3"/>
        <v>0.37</v>
      </c>
      <c r="P88" s="14" t="s">
        <v>117</v>
      </c>
    </row>
    <row r="89" spans="1:17" x14ac:dyDescent="0.25">
      <c r="A89" s="1" t="s">
        <v>231</v>
      </c>
      <c r="B89" s="1" t="s">
        <v>92</v>
      </c>
      <c r="C89" t="s">
        <v>93</v>
      </c>
      <c r="E89" s="4">
        <v>51822</v>
      </c>
      <c r="F89" s="5">
        <v>-22.32</v>
      </c>
      <c r="G89" s="10" t="s">
        <v>198</v>
      </c>
      <c r="H89"/>
      <c r="J89" s="6">
        <v>51183</v>
      </c>
      <c r="K89" s="12">
        <v>-28.856455595261711</v>
      </c>
      <c r="M89">
        <f t="shared" si="2"/>
        <v>639</v>
      </c>
      <c r="N89" s="13">
        <f t="shared" si="3"/>
        <v>1.29</v>
      </c>
      <c r="P89" s="14" t="s">
        <v>170</v>
      </c>
    </row>
    <row r="90" spans="1:17" x14ac:dyDescent="0.25">
      <c r="A90" s="1" t="s">
        <v>232</v>
      </c>
      <c r="B90" s="1" t="s">
        <v>92</v>
      </c>
      <c r="C90" t="s">
        <v>93</v>
      </c>
      <c r="E90" s="4">
        <v>49021</v>
      </c>
      <c r="F90" s="5">
        <v>-178.25</v>
      </c>
      <c r="G90" s="10" t="s">
        <v>185</v>
      </c>
      <c r="H90"/>
      <c r="J90" s="6">
        <v>48536</v>
      </c>
      <c r="K90" s="12">
        <v>-160.3312513333577</v>
      </c>
      <c r="M90">
        <f t="shared" si="2"/>
        <v>485</v>
      </c>
      <c r="N90" s="13">
        <f t="shared" si="3"/>
        <v>0.9</v>
      </c>
      <c r="P90" s="14" t="s">
        <v>117</v>
      </c>
    </row>
    <row r="91" spans="1:17" x14ac:dyDescent="0.25">
      <c r="A91" s="1" t="s">
        <v>233</v>
      </c>
      <c r="B91" s="1" t="s">
        <v>92</v>
      </c>
      <c r="C91" t="s">
        <v>93</v>
      </c>
      <c r="E91" s="4">
        <v>56593</v>
      </c>
      <c r="F91" s="5">
        <v>-39.39</v>
      </c>
      <c r="G91" s="10" t="s">
        <v>234</v>
      </c>
      <c r="H91"/>
      <c r="J91" s="6">
        <v>47797</v>
      </c>
      <c r="K91" s="12">
        <v>4230.2897157989464</v>
      </c>
      <c r="M91">
        <f t="shared" si="2"/>
        <v>8796</v>
      </c>
      <c r="N91" s="13">
        <f t="shared" si="3"/>
        <v>-107.4</v>
      </c>
      <c r="P91" s="14" t="s">
        <v>117</v>
      </c>
    </row>
    <row r="92" spans="1:17" x14ac:dyDescent="0.25">
      <c r="A92" s="1" t="s">
        <v>235</v>
      </c>
      <c r="B92" s="1" t="s">
        <v>92</v>
      </c>
      <c r="C92" t="s">
        <v>93</v>
      </c>
      <c r="E92" s="4">
        <v>62969</v>
      </c>
      <c r="F92" s="5">
        <v>-551.36</v>
      </c>
      <c r="G92" s="10" t="s">
        <v>223</v>
      </c>
      <c r="H92"/>
      <c r="J92" s="6">
        <v>60047</v>
      </c>
      <c r="K92" s="12">
        <v>-402.07629599760668</v>
      </c>
      <c r="M92">
        <f t="shared" si="2"/>
        <v>2922</v>
      </c>
      <c r="N92" s="13">
        <f t="shared" si="3"/>
        <v>0.73</v>
      </c>
      <c r="P92" s="14" t="s">
        <v>161</v>
      </c>
      <c r="Q92" t="s">
        <v>236</v>
      </c>
    </row>
    <row r="93" spans="1:17" x14ac:dyDescent="0.25">
      <c r="A93" s="1" t="s">
        <v>237</v>
      </c>
      <c r="B93" s="1" t="s">
        <v>92</v>
      </c>
      <c r="C93" t="s">
        <v>93</v>
      </c>
      <c r="E93" s="4">
        <v>52946</v>
      </c>
      <c r="F93" s="5">
        <v>-287.41000000000003</v>
      </c>
      <c r="H93"/>
      <c r="J93" s="6">
        <v>52062</v>
      </c>
      <c r="K93" s="12">
        <v>-157.0135296848519</v>
      </c>
      <c r="M93">
        <f t="shared" si="2"/>
        <v>884</v>
      </c>
      <c r="N93" s="13">
        <f t="shared" si="3"/>
        <v>0.55000000000000004</v>
      </c>
      <c r="P93" s="14" t="s">
        <v>117</v>
      </c>
    </row>
    <row r="94" spans="1:17" x14ac:dyDescent="0.25">
      <c r="A94" s="1" t="s">
        <v>238</v>
      </c>
      <c r="B94" s="1" t="s">
        <v>92</v>
      </c>
      <c r="C94" t="s">
        <v>93</v>
      </c>
      <c r="E94" s="4">
        <v>47832</v>
      </c>
      <c r="F94" s="5">
        <v>-13.76</v>
      </c>
      <c r="G94" s="10" t="s">
        <v>94</v>
      </c>
      <c r="H94"/>
      <c r="J94" s="6">
        <v>47832</v>
      </c>
      <c r="K94" s="12">
        <v>-13.87391662210621</v>
      </c>
      <c r="M94">
        <f t="shared" si="2"/>
        <v>0</v>
      </c>
      <c r="N94" s="13">
        <f t="shared" si="3"/>
        <v>1.01</v>
      </c>
      <c r="P94" s="14" t="s">
        <v>117</v>
      </c>
    </row>
    <row r="95" spans="1:17" x14ac:dyDescent="0.25">
      <c r="A95" s="1" t="s">
        <v>239</v>
      </c>
      <c r="B95" s="1" t="s">
        <v>92</v>
      </c>
      <c r="C95" t="s">
        <v>93</v>
      </c>
      <c r="E95" s="4">
        <v>58632</v>
      </c>
      <c r="F95" s="5">
        <v>16184.59</v>
      </c>
      <c r="H95"/>
      <c r="J95" s="6">
        <v>57049</v>
      </c>
      <c r="K95" s="12">
        <v>-357.98051403253322</v>
      </c>
      <c r="M95">
        <f t="shared" si="2"/>
        <v>1583</v>
      </c>
      <c r="N95" s="13">
        <f t="shared" si="3"/>
        <v>-0.02</v>
      </c>
      <c r="P95" s="14" t="s">
        <v>117</v>
      </c>
    </row>
    <row r="96" spans="1:17" x14ac:dyDescent="0.25">
      <c r="A96" s="1" t="s">
        <v>240</v>
      </c>
      <c r="B96" s="1" t="s">
        <v>92</v>
      </c>
      <c r="C96" t="s">
        <v>93</v>
      </c>
      <c r="E96" s="4">
        <v>50136</v>
      </c>
      <c r="F96" s="5">
        <v>-38.090000000000003</v>
      </c>
      <c r="H96"/>
      <c r="J96" s="6">
        <v>49405</v>
      </c>
      <c r="K96" s="12">
        <v>-24.81826203502872</v>
      </c>
      <c r="M96">
        <f t="shared" si="2"/>
        <v>731</v>
      </c>
      <c r="N96" s="13">
        <f t="shared" si="3"/>
        <v>0.65</v>
      </c>
      <c r="P96" s="14" t="s">
        <v>117</v>
      </c>
    </row>
    <row r="97" spans="1:17" x14ac:dyDescent="0.25">
      <c r="A97" s="1" t="s">
        <v>241</v>
      </c>
      <c r="B97" s="1" t="s">
        <v>92</v>
      </c>
      <c r="C97" t="s">
        <v>93</v>
      </c>
      <c r="E97" s="4">
        <v>50253</v>
      </c>
      <c r="F97" s="5">
        <v>-574</v>
      </c>
      <c r="H97"/>
      <c r="J97" s="6">
        <v>49980</v>
      </c>
      <c r="K97" s="12">
        <v>-378.83295434002531</v>
      </c>
      <c r="M97">
        <f t="shared" si="2"/>
        <v>273</v>
      </c>
      <c r="N97" s="13">
        <f t="shared" si="3"/>
        <v>0.66</v>
      </c>
      <c r="P97" s="14" t="s">
        <v>117</v>
      </c>
    </row>
    <row r="98" spans="1:17" x14ac:dyDescent="0.25">
      <c r="A98" s="1" t="s">
        <v>242</v>
      </c>
      <c r="B98" s="1" t="s">
        <v>92</v>
      </c>
      <c r="C98" t="s">
        <v>93</v>
      </c>
      <c r="E98" s="4">
        <v>56618</v>
      </c>
      <c r="F98" s="5">
        <v>-364.04</v>
      </c>
      <c r="H98"/>
      <c r="J98" s="6">
        <v>55491</v>
      </c>
      <c r="K98" s="12">
        <v>-109.08707117370901</v>
      </c>
      <c r="M98">
        <f t="shared" si="2"/>
        <v>1127</v>
      </c>
      <c r="N98" s="13">
        <f t="shared" si="3"/>
        <v>0.3</v>
      </c>
      <c r="P98" s="14" t="s">
        <v>117</v>
      </c>
    </row>
    <row r="99" spans="1:17" x14ac:dyDescent="0.25">
      <c r="A99" s="1" t="s">
        <v>243</v>
      </c>
      <c r="B99" s="1" t="s">
        <v>92</v>
      </c>
      <c r="C99" t="s">
        <v>93</v>
      </c>
      <c r="E99" s="4">
        <v>51230</v>
      </c>
      <c r="F99" s="5">
        <v>-24.03</v>
      </c>
      <c r="H99"/>
      <c r="J99" s="6">
        <v>50225</v>
      </c>
      <c r="K99" s="12">
        <v>-15.79733013341315</v>
      </c>
      <c r="M99">
        <f t="shared" si="2"/>
        <v>1005</v>
      </c>
      <c r="N99" s="13">
        <f t="shared" si="3"/>
        <v>0.66</v>
      </c>
      <c r="P99" s="14" t="s">
        <v>117</v>
      </c>
    </row>
    <row r="100" spans="1:17" x14ac:dyDescent="0.25">
      <c r="A100" s="1" t="s">
        <v>244</v>
      </c>
      <c r="B100" s="1" t="s">
        <v>92</v>
      </c>
      <c r="C100" t="s">
        <v>93</v>
      </c>
      <c r="E100" s="4">
        <v>46636</v>
      </c>
      <c r="F100" s="5">
        <v>-43.71</v>
      </c>
      <c r="H100"/>
      <c r="J100" s="6">
        <v>46452</v>
      </c>
      <c r="K100" s="12">
        <v>-41.278312801101151</v>
      </c>
      <c r="M100">
        <f t="shared" si="2"/>
        <v>184</v>
      </c>
      <c r="N100" s="13">
        <f t="shared" si="3"/>
        <v>0.94</v>
      </c>
      <c r="P100" s="14" t="s">
        <v>117</v>
      </c>
    </row>
    <row r="101" spans="1:17" x14ac:dyDescent="0.25">
      <c r="A101" s="1" t="s">
        <v>245</v>
      </c>
      <c r="B101" s="1" t="s">
        <v>92</v>
      </c>
      <c r="C101" t="s">
        <v>93</v>
      </c>
      <c r="E101" s="4">
        <v>46192</v>
      </c>
      <c r="F101" s="5">
        <v>-252.02</v>
      </c>
      <c r="H101"/>
      <c r="J101" s="6">
        <v>46192</v>
      </c>
      <c r="K101" s="12">
        <v>-315.64740235212878</v>
      </c>
      <c r="M101">
        <f t="shared" si="2"/>
        <v>0</v>
      </c>
      <c r="N101" s="13">
        <f t="shared" si="3"/>
        <v>1.25</v>
      </c>
      <c r="P101" s="14" t="s">
        <v>117</v>
      </c>
    </row>
    <row r="102" spans="1:17" x14ac:dyDescent="0.25">
      <c r="A102" s="1" t="s">
        <v>246</v>
      </c>
      <c r="B102" s="1" t="s">
        <v>92</v>
      </c>
      <c r="C102" t="s">
        <v>93</v>
      </c>
      <c r="E102" s="4">
        <v>48519</v>
      </c>
      <c r="F102" s="5">
        <v>-488.07</v>
      </c>
      <c r="H102"/>
      <c r="J102" s="6">
        <v>48245</v>
      </c>
      <c r="K102" s="12">
        <v>-187.72786513027231</v>
      </c>
      <c r="M102">
        <f t="shared" si="2"/>
        <v>274</v>
      </c>
      <c r="N102" s="13">
        <f t="shared" si="3"/>
        <v>0.38</v>
      </c>
      <c r="P102" s="14" t="s">
        <v>117</v>
      </c>
    </row>
    <row r="103" spans="1:17" x14ac:dyDescent="0.25">
      <c r="A103" s="1" t="s">
        <v>247</v>
      </c>
      <c r="B103" s="1" t="s">
        <v>92</v>
      </c>
      <c r="C103" t="s">
        <v>93</v>
      </c>
      <c r="E103" s="4">
        <v>47884</v>
      </c>
      <c r="F103" s="5">
        <v>-37.42</v>
      </c>
      <c r="H103"/>
      <c r="J103" s="6">
        <v>47182</v>
      </c>
      <c r="K103" s="12">
        <v>-36.365010484757327</v>
      </c>
      <c r="M103">
        <f t="shared" si="2"/>
        <v>702</v>
      </c>
      <c r="N103" s="13">
        <f t="shared" si="3"/>
        <v>0.97</v>
      </c>
      <c r="P103" s="14" t="s">
        <v>117</v>
      </c>
    </row>
    <row r="104" spans="1:17" x14ac:dyDescent="0.25">
      <c r="A104" s="1" t="s">
        <v>248</v>
      </c>
      <c r="B104" s="1" t="s">
        <v>92</v>
      </c>
      <c r="C104" t="s">
        <v>93</v>
      </c>
      <c r="E104" s="4">
        <v>48128</v>
      </c>
      <c r="F104" s="5">
        <v>-3.4</v>
      </c>
      <c r="H104"/>
      <c r="J104" s="6">
        <v>47125</v>
      </c>
      <c r="K104" s="12">
        <v>-12.525425013215971</v>
      </c>
      <c r="M104">
        <f t="shared" si="2"/>
        <v>1003</v>
      </c>
      <c r="N104" s="13">
        <f t="shared" si="3"/>
        <v>3.68</v>
      </c>
      <c r="P104" s="14" t="s">
        <v>117</v>
      </c>
    </row>
    <row r="105" spans="1:17" x14ac:dyDescent="0.25">
      <c r="A105" s="1" t="s">
        <v>249</v>
      </c>
      <c r="B105" s="1" t="s">
        <v>92</v>
      </c>
      <c r="C105" t="s">
        <v>93</v>
      </c>
      <c r="E105" s="4">
        <v>48700</v>
      </c>
      <c r="F105" s="5">
        <v>-239.46</v>
      </c>
      <c r="H105"/>
      <c r="J105" s="6">
        <v>48700</v>
      </c>
      <c r="K105" s="12">
        <v>-241.08813860253139</v>
      </c>
      <c r="M105">
        <f t="shared" si="2"/>
        <v>0</v>
      </c>
      <c r="N105" s="13">
        <f t="shared" si="3"/>
        <v>1.01</v>
      </c>
      <c r="P105" s="14" t="s">
        <v>117</v>
      </c>
    </row>
    <row r="106" spans="1:17" x14ac:dyDescent="0.25">
      <c r="A106" s="1" t="s">
        <v>250</v>
      </c>
      <c r="B106" s="1" t="s">
        <v>92</v>
      </c>
      <c r="C106" t="s">
        <v>93</v>
      </c>
      <c r="E106" s="4">
        <v>46935</v>
      </c>
      <c r="F106" s="5">
        <v>-117.55</v>
      </c>
      <c r="H106"/>
      <c r="J106" s="6">
        <v>46813</v>
      </c>
      <c r="K106" s="12">
        <v>-101.1792068477364</v>
      </c>
      <c r="M106">
        <f t="shared" si="2"/>
        <v>122</v>
      </c>
      <c r="N106" s="13">
        <f t="shared" si="3"/>
        <v>0.86</v>
      </c>
      <c r="P106" s="14" t="s">
        <v>117</v>
      </c>
    </row>
    <row r="107" spans="1:17" x14ac:dyDescent="0.25">
      <c r="A107" s="1" t="s">
        <v>251</v>
      </c>
      <c r="B107" s="1" t="s">
        <v>92</v>
      </c>
      <c r="C107" t="s">
        <v>93</v>
      </c>
      <c r="E107" s="4">
        <v>48808</v>
      </c>
      <c r="F107" s="5">
        <v>-186.43</v>
      </c>
      <c r="H107"/>
      <c r="J107" s="6">
        <v>48230</v>
      </c>
      <c r="K107" s="12">
        <v>-142.51698389032549</v>
      </c>
      <c r="M107">
        <f t="shared" si="2"/>
        <v>578</v>
      </c>
      <c r="N107" s="13">
        <f t="shared" si="3"/>
        <v>0.76</v>
      </c>
      <c r="P107" s="14" t="s">
        <v>117</v>
      </c>
    </row>
    <row r="108" spans="1:17" x14ac:dyDescent="0.25">
      <c r="A108" s="1" t="s">
        <v>252</v>
      </c>
      <c r="B108" s="1" t="s">
        <v>92</v>
      </c>
      <c r="C108" t="s">
        <v>93</v>
      </c>
      <c r="E108" s="4">
        <v>47423</v>
      </c>
      <c r="F108" s="5">
        <v>-1.44</v>
      </c>
      <c r="H108"/>
      <c r="J108" s="6">
        <v>47423</v>
      </c>
      <c r="K108" s="12">
        <v>-1.455826522813787</v>
      </c>
      <c r="M108">
        <f t="shared" si="2"/>
        <v>0</v>
      </c>
      <c r="N108" s="13">
        <f t="shared" si="3"/>
        <v>1.01</v>
      </c>
      <c r="P108" s="14" t="s">
        <v>117</v>
      </c>
    </row>
    <row r="109" spans="1:17" x14ac:dyDescent="0.25">
      <c r="A109" s="1" t="s">
        <v>253</v>
      </c>
      <c r="B109" s="1" t="s">
        <v>92</v>
      </c>
      <c r="C109" t="s">
        <v>93</v>
      </c>
      <c r="E109" s="4">
        <v>49255</v>
      </c>
      <c r="F109" s="5">
        <v>-69.13</v>
      </c>
      <c r="H109"/>
      <c r="J109" s="6">
        <v>48280</v>
      </c>
      <c r="K109" s="12">
        <v>-87.770963336613605</v>
      </c>
      <c r="M109">
        <f t="shared" si="2"/>
        <v>975</v>
      </c>
      <c r="N109" s="13">
        <f t="shared" si="3"/>
        <v>1.27</v>
      </c>
      <c r="P109" s="14" t="s">
        <v>117</v>
      </c>
    </row>
    <row r="110" spans="1:17" x14ac:dyDescent="0.25">
      <c r="A110" s="1" t="s">
        <v>254</v>
      </c>
      <c r="B110" s="1" t="s">
        <v>92</v>
      </c>
      <c r="C110" t="s">
        <v>93</v>
      </c>
      <c r="E110" s="4">
        <v>58190</v>
      </c>
      <c r="F110" s="5">
        <v>-308.02</v>
      </c>
      <c r="H110"/>
      <c r="J110" s="6">
        <v>56060</v>
      </c>
      <c r="K110" s="12">
        <v>-42.559100105548623</v>
      </c>
      <c r="M110">
        <f t="shared" si="2"/>
        <v>2130</v>
      </c>
      <c r="N110" s="13">
        <f t="shared" si="3"/>
        <v>0.14000000000000001</v>
      </c>
      <c r="P110" s="14" t="s">
        <v>117</v>
      </c>
    </row>
    <row r="111" spans="1:17" x14ac:dyDescent="0.25">
      <c r="A111" s="1" t="s">
        <v>255</v>
      </c>
      <c r="B111" s="1" t="s">
        <v>92</v>
      </c>
      <c r="C111" t="s">
        <v>93</v>
      </c>
      <c r="E111" s="4">
        <v>46191</v>
      </c>
      <c r="F111" s="5">
        <v>-62.25</v>
      </c>
      <c r="H111"/>
      <c r="J111" s="6">
        <v>46191</v>
      </c>
      <c r="K111" s="12">
        <v>-78.315636754991417</v>
      </c>
      <c r="M111">
        <f t="shared" si="2"/>
        <v>0</v>
      </c>
      <c r="N111" s="13">
        <f t="shared" si="3"/>
        <v>1.26</v>
      </c>
      <c r="P111" s="14" t="s">
        <v>117</v>
      </c>
    </row>
    <row r="112" spans="1:17" x14ac:dyDescent="0.25">
      <c r="A112" s="1" t="s">
        <v>256</v>
      </c>
      <c r="B112" s="1" t="s">
        <v>92</v>
      </c>
      <c r="C112" t="s">
        <v>93</v>
      </c>
      <c r="E112" s="4">
        <v>59088</v>
      </c>
      <c r="F112" s="5">
        <v>-40.299999999999997</v>
      </c>
      <c r="G112" s="10" t="s">
        <v>223</v>
      </c>
      <c r="H112"/>
      <c r="J112" s="6">
        <v>57354</v>
      </c>
      <c r="K112" s="12">
        <v>-238.5518077657272</v>
      </c>
      <c r="M112">
        <f t="shared" si="2"/>
        <v>1734</v>
      </c>
      <c r="N112" s="13">
        <f t="shared" si="3"/>
        <v>5.92</v>
      </c>
      <c r="P112" s="14" t="s">
        <v>161</v>
      </c>
      <c r="Q112" t="s">
        <v>236</v>
      </c>
    </row>
    <row r="113" spans="1:17" x14ac:dyDescent="0.25">
      <c r="A113" s="1" t="s">
        <v>257</v>
      </c>
      <c r="B113" s="1" t="s">
        <v>92</v>
      </c>
      <c r="C113" t="s">
        <v>93</v>
      </c>
      <c r="E113" s="4">
        <v>57109</v>
      </c>
      <c r="F113" s="5">
        <v>-22.06</v>
      </c>
      <c r="G113" s="10" t="s">
        <v>258</v>
      </c>
      <c r="H113"/>
      <c r="J113" s="6">
        <v>56743</v>
      </c>
      <c r="K113" s="12">
        <v>-3.4161552594428599</v>
      </c>
      <c r="M113">
        <f t="shared" si="2"/>
        <v>366</v>
      </c>
      <c r="N113" s="13">
        <f t="shared" si="3"/>
        <v>0.15</v>
      </c>
      <c r="P113" s="14" t="s">
        <v>161</v>
      </c>
      <c r="Q113" t="s">
        <v>236</v>
      </c>
    </row>
    <row r="114" spans="1:17" x14ac:dyDescent="0.25">
      <c r="A114" s="1" t="s">
        <v>259</v>
      </c>
      <c r="B114" s="1" t="s">
        <v>92</v>
      </c>
      <c r="C114" t="s">
        <v>93</v>
      </c>
      <c r="E114" s="4">
        <v>50446</v>
      </c>
      <c r="F114" s="5">
        <v>-44.15</v>
      </c>
      <c r="G114" s="10" t="s">
        <v>234</v>
      </c>
      <c r="H114"/>
      <c r="J114" s="6">
        <v>49805</v>
      </c>
      <c r="K114" s="12">
        <v>-29.445158552116791</v>
      </c>
      <c r="M114">
        <f t="shared" si="2"/>
        <v>641</v>
      </c>
      <c r="N114" s="13">
        <f t="shared" si="3"/>
        <v>0.67</v>
      </c>
      <c r="P114" s="14" t="s">
        <v>117</v>
      </c>
    </row>
    <row r="115" spans="1:17" x14ac:dyDescent="0.25">
      <c r="A115" s="1" t="s">
        <v>260</v>
      </c>
      <c r="B115" s="1" t="s">
        <v>92</v>
      </c>
      <c r="C115" t="s">
        <v>93</v>
      </c>
      <c r="E115" s="4">
        <v>48431</v>
      </c>
      <c r="F115" s="5">
        <v>-5.54</v>
      </c>
      <c r="H115"/>
      <c r="J115" s="6">
        <v>47973</v>
      </c>
      <c r="K115" s="12">
        <v>-5.9718159523344534</v>
      </c>
      <c r="M115">
        <f t="shared" si="2"/>
        <v>458</v>
      </c>
      <c r="N115" s="13">
        <f t="shared" si="3"/>
        <v>1.08</v>
      </c>
      <c r="P115" s="14" t="s">
        <v>117</v>
      </c>
    </row>
    <row r="116" spans="1:17" x14ac:dyDescent="0.25">
      <c r="A116" s="1" t="s">
        <v>261</v>
      </c>
      <c r="B116" s="1" t="s">
        <v>100</v>
      </c>
      <c r="C116" t="s">
        <v>93</v>
      </c>
      <c r="E116" s="4">
        <v>48558</v>
      </c>
      <c r="F116" s="5">
        <v>-5.7</v>
      </c>
      <c r="H116"/>
      <c r="J116" s="6">
        <v>47889</v>
      </c>
      <c r="K116" s="12">
        <v>-53.888008235226323</v>
      </c>
      <c r="M116">
        <f t="shared" si="2"/>
        <v>669</v>
      </c>
      <c r="N116" s="13">
        <f t="shared" si="3"/>
        <v>9.4499999999999993</v>
      </c>
      <c r="P116" s="14" t="s">
        <v>117</v>
      </c>
    </row>
    <row r="117" spans="1:17" x14ac:dyDescent="0.25">
      <c r="A117" s="1" t="s">
        <v>262</v>
      </c>
      <c r="B117" s="1" t="s">
        <v>92</v>
      </c>
      <c r="C117" t="s">
        <v>93</v>
      </c>
      <c r="E117" s="4">
        <v>53114</v>
      </c>
      <c r="F117" s="5">
        <v>-0.59</v>
      </c>
      <c r="H117"/>
      <c r="J117" s="6">
        <v>52048</v>
      </c>
      <c r="K117" s="12">
        <v>-3.407698056584799</v>
      </c>
      <c r="M117">
        <f t="shared" si="2"/>
        <v>1066</v>
      </c>
      <c r="N117" s="13">
        <f t="shared" si="3"/>
        <v>5.78</v>
      </c>
      <c r="P117" s="14" t="s">
        <v>117</v>
      </c>
    </row>
    <row r="118" spans="1:17" x14ac:dyDescent="0.25">
      <c r="A118" s="1" t="s">
        <v>263</v>
      </c>
      <c r="B118" s="1" t="s">
        <v>92</v>
      </c>
      <c r="C118" t="s">
        <v>93</v>
      </c>
      <c r="E118" s="4">
        <v>47161</v>
      </c>
      <c r="F118" s="5">
        <v>-15.06</v>
      </c>
      <c r="H118"/>
      <c r="J118" s="6">
        <v>47038</v>
      </c>
      <c r="K118" s="12">
        <v>-168.77217357829801</v>
      </c>
      <c r="M118">
        <f t="shared" si="2"/>
        <v>123</v>
      </c>
      <c r="N118" s="13">
        <f t="shared" si="3"/>
        <v>11.21</v>
      </c>
      <c r="P118" s="14" t="s">
        <v>117</v>
      </c>
    </row>
    <row r="119" spans="1:17" x14ac:dyDescent="0.25">
      <c r="A119" s="1" t="s">
        <v>264</v>
      </c>
      <c r="B119" s="1" t="s">
        <v>92</v>
      </c>
      <c r="C119" t="s">
        <v>93</v>
      </c>
      <c r="E119" s="4">
        <v>48094</v>
      </c>
      <c r="F119" s="5">
        <v>-8.27</v>
      </c>
      <c r="H119"/>
      <c r="J119" s="6">
        <v>47729</v>
      </c>
      <c r="K119" s="12">
        <v>-1.625673006472915</v>
      </c>
      <c r="M119">
        <f t="shared" si="2"/>
        <v>365</v>
      </c>
      <c r="N119" s="13">
        <f t="shared" si="3"/>
        <v>0.2</v>
      </c>
      <c r="P119" s="14" t="s">
        <v>117</v>
      </c>
    </row>
    <row r="120" spans="1:17" x14ac:dyDescent="0.25">
      <c r="A120" s="1" t="s">
        <v>99</v>
      </c>
      <c r="B120" s="1" t="s">
        <v>100</v>
      </c>
      <c r="C120" t="s">
        <v>93</v>
      </c>
      <c r="E120" s="4">
        <v>48604</v>
      </c>
      <c r="F120" s="5">
        <v>100706.47</v>
      </c>
      <c r="H120"/>
      <c r="J120" s="6">
        <v>48604</v>
      </c>
      <c r="K120" s="12">
        <v>99179.483380561753</v>
      </c>
      <c r="M120">
        <f t="shared" si="2"/>
        <v>0</v>
      </c>
      <c r="N120" s="13">
        <f t="shared" si="3"/>
        <v>0.98</v>
      </c>
      <c r="P120" s="14" t="s">
        <v>170</v>
      </c>
    </row>
    <row r="121" spans="1:17" x14ac:dyDescent="0.25">
      <c r="A121" s="1" t="s">
        <v>265</v>
      </c>
      <c r="B121" s="1" t="s">
        <v>100</v>
      </c>
      <c r="C121" t="s">
        <v>93</v>
      </c>
      <c r="E121" s="4">
        <v>46223</v>
      </c>
      <c r="F121" s="5">
        <v>-237.67</v>
      </c>
      <c r="G121" s="10" t="s">
        <v>266</v>
      </c>
      <c r="H121"/>
      <c r="J121" s="6">
        <v>46193</v>
      </c>
      <c r="K121" s="12">
        <v>-29.051290123865979</v>
      </c>
      <c r="M121">
        <f t="shared" si="2"/>
        <v>30</v>
      </c>
      <c r="N121" s="13">
        <f t="shared" si="3"/>
        <v>0.12</v>
      </c>
      <c r="P121" s="14" t="s">
        <v>117</v>
      </c>
    </row>
    <row r="122" spans="1:17" x14ac:dyDescent="0.25">
      <c r="A122" s="1" t="s">
        <v>267</v>
      </c>
      <c r="B122" s="1" t="s">
        <v>100</v>
      </c>
      <c r="C122" t="s">
        <v>93</v>
      </c>
      <c r="E122" s="4">
        <v>46701</v>
      </c>
      <c r="F122" s="5">
        <v>-16.46</v>
      </c>
      <c r="H122"/>
      <c r="J122" s="6">
        <v>46548</v>
      </c>
      <c r="K122" s="12">
        <v>-4.9772971428140522</v>
      </c>
      <c r="M122">
        <f t="shared" si="2"/>
        <v>153</v>
      </c>
      <c r="N122" s="13">
        <f t="shared" si="3"/>
        <v>0.3</v>
      </c>
      <c r="P122" s="14" t="s">
        <v>117</v>
      </c>
    </row>
    <row r="123" spans="1:17" x14ac:dyDescent="0.25">
      <c r="A123" s="1" t="s">
        <v>268</v>
      </c>
      <c r="B123" s="1" t="s">
        <v>100</v>
      </c>
      <c r="C123" t="s">
        <v>93</v>
      </c>
      <c r="E123" s="4">
        <v>47827</v>
      </c>
      <c r="F123" s="5">
        <v>-12.19</v>
      </c>
      <c r="H123"/>
      <c r="J123" s="6">
        <v>47401</v>
      </c>
      <c r="K123" s="12">
        <v>-23.662492428492211</v>
      </c>
      <c r="M123">
        <f t="shared" si="2"/>
        <v>426</v>
      </c>
      <c r="N123" s="13">
        <f t="shared" si="3"/>
        <v>1.94</v>
      </c>
      <c r="P123" s="14" t="s">
        <v>117</v>
      </c>
    </row>
    <row r="124" spans="1:17" x14ac:dyDescent="0.25">
      <c r="A124" s="1" t="s">
        <v>269</v>
      </c>
      <c r="B124" s="1" t="s">
        <v>100</v>
      </c>
      <c r="C124" t="s">
        <v>93</v>
      </c>
      <c r="E124" s="4">
        <v>55585</v>
      </c>
      <c r="F124" s="5">
        <v>6956.78</v>
      </c>
      <c r="G124" s="10" t="s">
        <v>185</v>
      </c>
      <c r="H124"/>
      <c r="J124" s="6">
        <v>54369</v>
      </c>
      <c r="K124" s="12">
        <v>-130.17964330031171</v>
      </c>
      <c r="M124">
        <f t="shared" si="2"/>
        <v>1216</v>
      </c>
      <c r="N124" s="13">
        <f t="shared" si="3"/>
        <v>-0.02</v>
      </c>
      <c r="P124" s="14" t="s">
        <v>117</v>
      </c>
    </row>
    <row r="125" spans="1:17" x14ac:dyDescent="0.25">
      <c r="A125" s="1" t="s">
        <v>270</v>
      </c>
      <c r="B125" s="1" t="s">
        <v>100</v>
      </c>
      <c r="C125" t="s">
        <v>93</v>
      </c>
      <c r="E125" s="4">
        <v>51175</v>
      </c>
      <c r="F125" s="5">
        <v>-134.41</v>
      </c>
      <c r="H125"/>
      <c r="J125" s="6">
        <v>50810</v>
      </c>
      <c r="K125" s="12">
        <v>-261.95703475197467</v>
      </c>
      <c r="M125">
        <f t="shared" si="2"/>
        <v>365</v>
      </c>
      <c r="N125" s="13">
        <f t="shared" si="3"/>
        <v>1.95</v>
      </c>
      <c r="P125" s="14" t="s">
        <v>117</v>
      </c>
    </row>
    <row r="126" spans="1:17" x14ac:dyDescent="0.25">
      <c r="A126" s="1" t="s">
        <v>271</v>
      </c>
      <c r="B126" s="1" t="s">
        <v>100</v>
      </c>
      <c r="C126" t="s">
        <v>93</v>
      </c>
      <c r="E126" s="4">
        <v>51313</v>
      </c>
      <c r="F126" s="5">
        <v>-54.62</v>
      </c>
      <c r="H126"/>
      <c r="J126" s="6">
        <v>50582</v>
      </c>
      <c r="K126" s="12">
        <v>-148.62666380281149</v>
      </c>
      <c r="M126">
        <f t="shared" si="2"/>
        <v>731</v>
      </c>
      <c r="N126" s="13">
        <f t="shared" si="3"/>
        <v>2.72</v>
      </c>
      <c r="P126" s="14" t="s">
        <v>117</v>
      </c>
    </row>
    <row r="127" spans="1:17" x14ac:dyDescent="0.25">
      <c r="A127" s="1" t="s">
        <v>101</v>
      </c>
      <c r="B127" s="1" t="s">
        <v>100</v>
      </c>
      <c r="C127" t="s">
        <v>93</v>
      </c>
      <c r="E127" s="4">
        <v>53123</v>
      </c>
      <c r="F127" s="5">
        <v>84087.31</v>
      </c>
      <c r="G127" s="10" t="s">
        <v>102</v>
      </c>
      <c r="H127"/>
      <c r="J127" s="6">
        <v>53123</v>
      </c>
      <c r="K127" s="12">
        <v>90014.711742158615</v>
      </c>
      <c r="M127">
        <f t="shared" si="2"/>
        <v>0</v>
      </c>
      <c r="N127" s="13">
        <f t="shared" si="3"/>
        <v>1.07</v>
      </c>
      <c r="P127" s="14" t="s">
        <v>161</v>
      </c>
      <c r="Q127" t="s">
        <v>272</v>
      </c>
    </row>
    <row r="128" spans="1:17" x14ac:dyDescent="0.25">
      <c r="A128" s="1" t="s">
        <v>273</v>
      </c>
      <c r="B128" s="1" t="s">
        <v>100</v>
      </c>
      <c r="C128" t="s">
        <v>93</v>
      </c>
      <c r="E128" s="4">
        <v>50051</v>
      </c>
      <c r="F128" s="5">
        <v>-113.55</v>
      </c>
      <c r="H128"/>
      <c r="J128" s="6">
        <v>50051</v>
      </c>
      <c r="K128" s="12">
        <v>-114.34842664234409</v>
      </c>
      <c r="M128">
        <f t="shared" si="2"/>
        <v>0</v>
      </c>
      <c r="N128" s="13">
        <f t="shared" si="3"/>
        <v>1.01</v>
      </c>
      <c r="P128" s="14" t="s">
        <v>117</v>
      </c>
    </row>
    <row r="129" spans="1:16" x14ac:dyDescent="0.25">
      <c r="A129" s="1" t="s">
        <v>274</v>
      </c>
      <c r="B129" s="1" t="s">
        <v>100</v>
      </c>
      <c r="C129" t="s">
        <v>93</v>
      </c>
      <c r="E129" s="4">
        <v>48893</v>
      </c>
      <c r="F129" s="5">
        <v>-110.14</v>
      </c>
      <c r="H129"/>
      <c r="J129" s="6">
        <v>48893</v>
      </c>
      <c r="K129" s="12">
        <v>-110.7785835318716</v>
      </c>
      <c r="M129">
        <f t="shared" si="2"/>
        <v>0</v>
      </c>
      <c r="N129" s="13">
        <f t="shared" si="3"/>
        <v>1.01</v>
      </c>
      <c r="P129" s="14" t="s">
        <v>117</v>
      </c>
    </row>
    <row r="130" spans="1:16" x14ac:dyDescent="0.25">
      <c r="A130" s="1" t="s">
        <v>275</v>
      </c>
      <c r="B130" s="1" t="s">
        <v>100</v>
      </c>
      <c r="C130" t="s">
        <v>93</v>
      </c>
      <c r="E130" s="4">
        <v>49592</v>
      </c>
      <c r="F130" s="5">
        <v>-18.37</v>
      </c>
      <c r="H130"/>
      <c r="J130" s="6">
        <v>49592</v>
      </c>
      <c r="K130" s="12">
        <v>-18.521118022197331</v>
      </c>
      <c r="M130">
        <f t="shared" ref="M130:M193" si="4">E130-J130</f>
        <v>0</v>
      </c>
      <c r="N130" s="13">
        <f t="shared" ref="N130:N193" si="5">ROUND(K130/F130,2)</f>
        <v>1.01</v>
      </c>
      <c r="P130" s="14" t="s">
        <v>117</v>
      </c>
    </row>
    <row r="131" spans="1:16" x14ac:dyDescent="0.25">
      <c r="A131" s="1" t="s">
        <v>276</v>
      </c>
      <c r="B131" s="1" t="s">
        <v>100</v>
      </c>
      <c r="C131" t="s">
        <v>93</v>
      </c>
      <c r="E131" s="4">
        <v>46357</v>
      </c>
      <c r="F131" s="5">
        <v>-142.72</v>
      </c>
      <c r="H131"/>
      <c r="J131" s="6">
        <v>46327</v>
      </c>
      <c r="K131" s="12">
        <v>-142.41772542541739</v>
      </c>
      <c r="M131">
        <f t="shared" si="4"/>
        <v>30</v>
      </c>
      <c r="N131" s="13">
        <f t="shared" si="5"/>
        <v>1</v>
      </c>
      <c r="P131" s="14" t="s">
        <v>117</v>
      </c>
    </row>
    <row r="132" spans="1:16" x14ac:dyDescent="0.25">
      <c r="A132" s="1" t="s">
        <v>277</v>
      </c>
      <c r="B132" s="1" t="s">
        <v>100</v>
      </c>
      <c r="C132" t="s">
        <v>93</v>
      </c>
      <c r="E132" s="4">
        <v>47951</v>
      </c>
      <c r="F132" s="5">
        <v>-22.97</v>
      </c>
      <c r="H132"/>
      <c r="J132" s="6">
        <v>47374</v>
      </c>
      <c r="K132" s="12">
        <v>-19.256015911787561</v>
      </c>
      <c r="M132">
        <f t="shared" si="4"/>
        <v>577</v>
      </c>
      <c r="N132" s="13">
        <f t="shared" si="5"/>
        <v>0.84</v>
      </c>
      <c r="P132" s="14" t="s">
        <v>117</v>
      </c>
    </row>
    <row r="133" spans="1:16" x14ac:dyDescent="0.25">
      <c r="A133" s="1" t="s">
        <v>278</v>
      </c>
      <c r="B133" s="1" t="s">
        <v>100</v>
      </c>
      <c r="C133" t="s">
        <v>93</v>
      </c>
      <c r="E133" s="4">
        <v>49588</v>
      </c>
      <c r="F133" s="5">
        <v>-40.04</v>
      </c>
      <c r="G133" s="10" t="s">
        <v>185</v>
      </c>
      <c r="H133"/>
      <c r="J133" s="6">
        <v>48981</v>
      </c>
      <c r="K133" s="12">
        <v>-90.828021464909341</v>
      </c>
      <c r="M133">
        <f t="shared" si="4"/>
        <v>607</v>
      </c>
      <c r="N133" s="13">
        <f t="shared" si="5"/>
        <v>2.27</v>
      </c>
      <c r="P133" s="14" t="s">
        <v>117</v>
      </c>
    </row>
    <row r="134" spans="1:16" x14ac:dyDescent="0.25">
      <c r="A134" s="1" t="s">
        <v>279</v>
      </c>
      <c r="B134" s="1" t="s">
        <v>100</v>
      </c>
      <c r="C134" t="s">
        <v>93</v>
      </c>
      <c r="E134" s="4">
        <v>47493</v>
      </c>
      <c r="F134" s="5">
        <v>-44.72</v>
      </c>
      <c r="G134" s="10" t="s">
        <v>234</v>
      </c>
      <c r="H134"/>
      <c r="J134" s="6">
        <v>47097</v>
      </c>
      <c r="K134" s="12">
        <v>-36.050936567872427</v>
      </c>
      <c r="M134">
        <f t="shared" si="4"/>
        <v>396</v>
      </c>
      <c r="N134" s="13">
        <f t="shared" si="5"/>
        <v>0.81</v>
      </c>
      <c r="P134" s="14" t="s">
        <v>117</v>
      </c>
    </row>
    <row r="135" spans="1:16" x14ac:dyDescent="0.25">
      <c r="A135" s="1" t="s">
        <v>280</v>
      </c>
      <c r="B135" s="1" t="s">
        <v>100</v>
      </c>
      <c r="C135" t="s">
        <v>93</v>
      </c>
      <c r="E135" s="4">
        <v>46935</v>
      </c>
      <c r="F135" s="5">
        <v>-3.8</v>
      </c>
      <c r="G135" s="10" t="s">
        <v>188</v>
      </c>
      <c r="H135"/>
      <c r="J135" s="6">
        <v>46266</v>
      </c>
      <c r="K135" s="12">
        <v>-5.0240470238373618</v>
      </c>
      <c r="M135">
        <f t="shared" si="4"/>
        <v>669</v>
      </c>
      <c r="N135" s="13">
        <f t="shared" si="5"/>
        <v>1.32</v>
      </c>
      <c r="P135" s="14" t="s">
        <v>117</v>
      </c>
    </row>
    <row r="136" spans="1:16" x14ac:dyDescent="0.25">
      <c r="A136" s="1" t="s">
        <v>281</v>
      </c>
      <c r="B136" s="1" t="s">
        <v>100</v>
      </c>
      <c r="C136" t="s">
        <v>93</v>
      </c>
      <c r="E136" s="4">
        <v>48158</v>
      </c>
      <c r="F136" s="5">
        <v>-74.08</v>
      </c>
      <c r="H136"/>
      <c r="J136" s="6">
        <v>47305</v>
      </c>
      <c r="K136" s="12">
        <v>-9.5422299407749733</v>
      </c>
      <c r="M136">
        <f t="shared" si="4"/>
        <v>853</v>
      </c>
      <c r="N136" s="13">
        <f t="shared" si="5"/>
        <v>0.13</v>
      </c>
      <c r="P136" s="14" t="s">
        <v>117</v>
      </c>
    </row>
    <row r="137" spans="1:16" x14ac:dyDescent="0.25">
      <c r="A137" s="1" t="s">
        <v>282</v>
      </c>
      <c r="B137" s="1" t="s">
        <v>100</v>
      </c>
      <c r="C137" t="s">
        <v>93</v>
      </c>
      <c r="E137" s="4">
        <v>53036</v>
      </c>
      <c r="F137" s="5">
        <v>-22.63</v>
      </c>
      <c r="H137"/>
      <c r="J137" s="6">
        <v>53036</v>
      </c>
      <c r="K137" s="12">
        <v>-23.014013225474361</v>
      </c>
      <c r="M137">
        <f t="shared" si="4"/>
        <v>0</v>
      </c>
      <c r="N137" s="13">
        <f t="shared" si="5"/>
        <v>1.02</v>
      </c>
      <c r="P137" s="14" t="s">
        <v>117</v>
      </c>
    </row>
    <row r="138" spans="1:16" x14ac:dyDescent="0.25">
      <c r="A138" s="1" t="s">
        <v>283</v>
      </c>
      <c r="B138" s="1" t="s">
        <v>100</v>
      </c>
      <c r="C138" t="s">
        <v>93</v>
      </c>
      <c r="E138" s="4">
        <v>49293</v>
      </c>
      <c r="F138" s="5">
        <v>-39.44</v>
      </c>
      <c r="H138"/>
      <c r="J138" s="6">
        <v>48625</v>
      </c>
      <c r="K138" s="12">
        <v>-49.091255378750787</v>
      </c>
      <c r="M138">
        <f t="shared" si="4"/>
        <v>668</v>
      </c>
      <c r="N138" s="13">
        <f t="shared" si="5"/>
        <v>1.24</v>
      </c>
      <c r="P138" s="14" t="s">
        <v>117</v>
      </c>
    </row>
    <row r="139" spans="1:16" x14ac:dyDescent="0.25">
      <c r="A139" s="1" t="s">
        <v>284</v>
      </c>
      <c r="B139" s="1" t="s">
        <v>100</v>
      </c>
      <c r="C139" t="s">
        <v>93</v>
      </c>
      <c r="E139" s="4">
        <v>53147</v>
      </c>
      <c r="F139" s="5">
        <v>-29.69</v>
      </c>
      <c r="H139"/>
      <c r="J139" s="6">
        <v>51870</v>
      </c>
      <c r="K139" s="12">
        <v>-33.120383154505021</v>
      </c>
      <c r="M139">
        <f t="shared" si="4"/>
        <v>1277</v>
      </c>
      <c r="N139" s="13">
        <f t="shared" si="5"/>
        <v>1.1200000000000001</v>
      </c>
      <c r="P139" s="14" t="s">
        <v>117</v>
      </c>
    </row>
    <row r="140" spans="1:16" x14ac:dyDescent="0.25">
      <c r="A140" s="1" t="s">
        <v>285</v>
      </c>
      <c r="B140" s="1" t="s">
        <v>100</v>
      </c>
      <c r="C140" t="s">
        <v>93</v>
      </c>
      <c r="E140" s="4">
        <v>47832</v>
      </c>
      <c r="F140" s="5">
        <v>-8.9600000000000009</v>
      </c>
      <c r="H140"/>
      <c r="J140" s="6">
        <v>46767</v>
      </c>
      <c r="K140" s="12">
        <v>-2.1728574640718819</v>
      </c>
      <c r="M140">
        <f t="shared" si="4"/>
        <v>1065</v>
      </c>
      <c r="N140" s="13">
        <f t="shared" si="5"/>
        <v>0.24</v>
      </c>
      <c r="P140" s="14" t="s">
        <v>117</v>
      </c>
    </row>
    <row r="141" spans="1:16" x14ac:dyDescent="0.25">
      <c r="A141" s="1" t="s">
        <v>286</v>
      </c>
      <c r="B141" s="1" t="s">
        <v>100</v>
      </c>
      <c r="C141" t="s">
        <v>93</v>
      </c>
      <c r="E141" s="4">
        <v>46605</v>
      </c>
      <c r="F141" s="5">
        <v>-50.65</v>
      </c>
      <c r="H141"/>
      <c r="J141" s="6">
        <v>46574</v>
      </c>
      <c r="K141" s="12">
        <v>-91.874284414562638</v>
      </c>
      <c r="M141">
        <f t="shared" si="4"/>
        <v>31</v>
      </c>
      <c r="N141" s="13">
        <f t="shared" si="5"/>
        <v>1.81</v>
      </c>
      <c r="P141" s="14" t="s">
        <v>117</v>
      </c>
    </row>
    <row r="142" spans="1:16" x14ac:dyDescent="0.25">
      <c r="A142" s="1" t="s">
        <v>287</v>
      </c>
      <c r="B142" s="1" t="s">
        <v>100</v>
      </c>
      <c r="C142" t="s">
        <v>93</v>
      </c>
      <c r="E142" s="4">
        <v>50698</v>
      </c>
      <c r="F142" s="5">
        <v>-117.31</v>
      </c>
      <c r="H142"/>
      <c r="J142" s="6">
        <v>49754</v>
      </c>
      <c r="K142" s="12">
        <v>-38.36942877789815</v>
      </c>
      <c r="M142">
        <f t="shared" si="4"/>
        <v>944</v>
      </c>
      <c r="N142" s="13">
        <f t="shared" si="5"/>
        <v>0.33</v>
      </c>
      <c r="P142" s="14" t="s">
        <v>117</v>
      </c>
    </row>
    <row r="143" spans="1:16" x14ac:dyDescent="0.25">
      <c r="A143" s="1" t="s">
        <v>288</v>
      </c>
      <c r="B143" s="1" t="s">
        <v>100</v>
      </c>
      <c r="C143" t="s">
        <v>93</v>
      </c>
      <c r="E143" s="4">
        <v>48678</v>
      </c>
      <c r="F143" s="5">
        <v>-112.84</v>
      </c>
      <c r="G143" s="10" t="s">
        <v>188</v>
      </c>
      <c r="H143"/>
      <c r="J143" s="6">
        <v>48282</v>
      </c>
      <c r="K143" s="12">
        <v>-119.4571428631762</v>
      </c>
      <c r="M143">
        <f t="shared" si="4"/>
        <v>396</v>
      </c>
      <c r="N143" s="13">
        <f t="shared" si="5"/>
        <v>1.06</v>
      </c>
      <c r="P143" s="14" t="s">
        <v>117</v>
      </c>
    </row>
    <row r="144" spans="1:16" x14ac:dyDescent="0.25">
      <c r="A144" s="1" t="s">
        <v>289</v>
      </c>
      <c r="B144" s="1" t="s">
        <v>100</v>
      </c>
      <c r="C144" t="s">
        <v>93</v>
      </c>
      <c r="E144" s="4">
        <v>52404</v>
      </c>
      <c r="F144" s="5">
        <v>-247.23</v>
      </c>
      <c r="G144" s="10" t="s">
        <v>234</v>
      </c>
      <c r="H144"/>
      <c r="J144" s="6">
        <v>51827</v>
      </c>
      <c r="K144" s="12">
        <v>-158.5934288757135</v>
      </c>
      <c r="M144">
        <f t="shared" si="4"/>
        <v>577</v>
      </c>
      <c r="N144" s="13">
        <f t="shared" si="5"/>
        <v>0.64</v>
      </c>
      <c r="P144" s="14" t="s">
        <v>117</v>
      </c>
    </row>
    <row r="145" spans="1:16" x14ac:dyDescent="0.25">
      <c r="A145" s="1" t="s">
        <v>290</v>
      </c>
      <c r="B145" s="1" t="s">
        <v>100</v>
      </c>
      <c r="C145" t="s">
        <v>93</v>
      </c>
      <c r="E145" s="4">
        <v>51209</v>
      </c>
      <c r="F145" s="5">
        <v>-615.04</v>
      </c>
      <c r="H145"/>
      <c r="J145" s="6">
        <v>50965</v>
      </c>
      <c r="K145" s="12">
        <v>-407.80272998433429</v>
      </c>
      <c r="M145">
        <f t="shared" si="4"/>
        <v>244</v>
      </c>
      <c r="N145" s="13">
        <f t="shared" si="5"/>
        <v>0.66</v>
      </c>
      <c r="P145" s="14" t="s">
        <v>117</v>
      </c>
    </row>
    <row r="146" spans="1:16" x14ac:dyDescent="0.25">
      <c r="A146" s="1" t="s">
        <v>291</v>
      </c>
      <c r="B146" s="1" t="s">
        <v>100</v>
      </c>
      <c r="C146" t="s">
        <v>93</v>
      </c>
      <c r="E146" s="4">
        <v>60157</v>
      </c>
      <c r="F146" s="5">
        <v>66001.87</v>
      </c>
      <c r="G146" s="10" t="s">
        <v>188</v>
      </c>
      <c r="H146"/>
      <c r="J146" s="6">
        <v>57842</v>
      </c>
      <c r="K146" s="12">
        <v>-289.45083212462077</v>
      </c>
      <c r="M146">
        <f t="shared" si="4"/>
        <v>2315</v>
      </c>
      <c r="N146" s="13">
        <f t="shared" si="5"/>
        <v>0</v>
      </c>
      <c r="P146" s="14" t="s">
        <v>117</v>
      </c>
    </row>
    <row r="147" spans="1:16" x14ac:dyDescent="0.25">
      <c r="A147" s="1" t="s">
        <v>292</v>
      </c>
      <c r="B147" s="1" t="s">
        <v>100</v>
      </c>
      <c r="C147" t="s">
        <v>93</v>
      </c>
      <c r="E147" s="4">
        <v>50474</v>
      </c>
      <c r="F147" s="5">
        <v>-62.25</v>
      </c>
      <c r="H147"/>
      <c r="J147" s="6">
        <v>49715</v>
      </c>
      <c r="K147" s="12">
        <v>-58.639366588834449</v>
      </c>
      <c r="M147">
        <f t="shared" si="4"/>
        <v>759</v>
      </c>
      <c r="N147" s="13">
        <f t="shared" si="5"/>
        <v>0.94</v>
      </c>
      <c r="P147" s="14" t="s">
        <v>117</v>
      </c>
    </row>
    <row r="148" spans="1:16" x14ac:dyDescent="0.25">
      <c r="A148" s="1" t="s">
        <v>293</v>
      </c>
      <c r="B148" s="1" t="s">
        <v>100</v>
      </c>
      <c r="C148" t="s">
        <v>93</v>
      </c>
      <c r="E148" s="4">
        <v>46586</v>
      </c>
      <c r="F148" s="5">
        <v>-13.12</v>
      </c>
      <c r="H148"/>
      <c r="J148" s="6">
        <v>46586</v>
      </c>
      <c r="K148" s="12">
        <v>-13.156530717198169</v>
      </c>
      <c r="M148">
        <f t="shared" si="4"/>
        <v>0</v>
      </c>
      <c r="N148" s="13">
        <f t="shared" si="5"/>
        <v>1</v>
      </c>
      <c r="P148" s="14" t="s">
        <v>117</v>
      </c>
    </row>
    <row r="149" spans="1:16" x14ac:dyDescent="0.25">
      <c r="A149" s="1" t="s">
        <v>294</v>
      </c>
      <c r="B149" s="1" t="s">
        <v>100</v>
      </c>
      <c r="C149" t="s">
        <v>93</v>
      </c>
      <c r="E149" s="4">
        <v>50450</v>
      </c>
      <c r="F149" s="5">
        <v>-3.99</v>
      </c>
      <c r="H149"/>
      <c r="J149" s="6">
        <v>49688</v>
      </c>
      <c r="K149" s="12">
        <v>-252.43593571860939</v>
      </c>
      <c r="M149">
        <f t="shared" si="4"/>
        <v>762</v>
      </c>
      <c r="N149" s="13">
        <f t="shared" si="5"/>
        <v>63.27</v>
      </c>
      <c r="P149" s="14" t="s">
        <v>117</v>
      </c>
    </row>
    <row r="150" spans="1:16" x14ac:dyDescent="0.25">
      <c r="A150" s="1" t="s">
        <v>103</v>
      </c>
      <c r="B150" s="1" t="s">
        <v>104</v>
      </c>
      <c r="C150" t="s">
        <v>105</v>
      </c>
      <c r="E150" s="4">
        <v>57365</v>
      </c>
      <c r="F150" s="5">
        <v>153915.51</v>
      </c>
      <c r="H150"/>
      <c r="J150" s="6">
        <v>57365</v>
      </c>
      <c r="K150" s="12">
        <v>126637.25436882149</v>
      </c>
      <c r="M150">
        <f t="shared" si="4"/>
        <v>0</v>
      </c>
      <c r="N150" s="13">
        <f t="shared" si="5"/>
        <v>0.82</v>
      </c>
      <c r="P150" s="14" t="s">
        <v>170</v>
      </c>
    </row>
    <row r="151" spans="1:16" x14ac:dyDescent="0.25">
      <c r="A151" s="1" t="s">
        <v>295</v>
      </c>
      <c r="B151" s="1" t="s">
        <v>100</v>
      </c>
      <c r="C151" t="s">
        <v>93</v>
      </c>
      <c r="E151" s="4">
        <v>54338</v>
      </c>
      <c r="F151" s="5">
        <v>-232.48</v>
      </c>
      <c r="H151"/>
      <c r="J151" s="6">
        <v>53089</v>
      </c>
      <c r="K151" s="12">
        <v>-123.0506940385517</v>
      </c>
      <c r="M151">
        <f t="shared" si="4"/>
        <v>1249</v>
      </c>
      <c r="N151" s="13">
        <f t="shared" si="5"/>
        <v>0.53</v>
      </c>
      <c r="P151" s="14" t="s">
        <v>117</v>
      </c>
    </row>
    <row r="152" spans="1:16" x14ac:dyDescent="0.25">
      <c r="A152" s="1" t="s">
        <v>296</v>
      </c>
      <c r="B152" s="1" t="s">
        <v>100</v>
      </c>
      <c r="C152" t="s">
        <v>93</v>
      </c>
      <c r="E152" s="4">
        <v>48220</v>
      </c>
      <c r="F152" s="5">
        <v>-32.21</v>
      </c>
      <c r="G152" s="10" t="s">
        <v>94</v>
      </c>
      <c r="H152"/>
      <c r="J152" s="6">
        <v>47886</v>
      </c>
      <c r="K152" s="12">
        <v>-57.329016055839872</v>
      </c>
      <c r="M152">
        <f t="shared" si="4"/>
        <v>334</v>
      </c>
      <c r="N152" s="13">
        <f t="shared" si="5"/>
        <v>1.78</v>
      </c>
      <c r="P152" s="14" t="s">
        <v>117</v>
      </c>
    </row>
    <row r="153" spans="1:16" x14ac:dyDescent="0.25">
      <c r="A153" s="1" t="s">
        <v>297</v>
      </c>
      <c r="B153" s="1" t="s">
        <v>100</v>
      </c>
      <c r="C153" t="s">
        <v>93</v>
      </c>
      <c r="E153" s="4">
        <v>48247</v>
      </c>
      <c r="F153" s="5">
        <v>-85.3</v>
      </c>
      <c r="G153" s="10" t="s">
        <v>94</v>
      </c>
      <c r="H153"/>
      <c r="J153" s="6">
        <v>47545</v>
      </c>
      <c r="K153" s="12">
        <v>-11.78092684556813</v>
      </c>
      <c r="M153">
        <f t="shared" si="4"/>
        <v>702</v>
      </c>
      <c r="N153" s="13">
        <f t="shared" si="5"/>
        <v>0.14000000000000001</v>
      </c>
      <c r="P153" s="14" t="s">
        <v>117</v>
      </c>
    </row>
    <row r="154" spans="1:16" x14ac:dyDescent="0.25">
      <c r="A154" s="1" t="s">
        <v>298</v>
      </c>
      <c r="B154" s="1" t="s">
        <v>100</v>
      </c>
      <c r="C154" t="s">
        <v>93</v>
      </c>
      <c r="E154" s="4">
        <v>46198</v>
      </c>
      <c r="F154" s="5">
        <v>-35.85</v>
      </c>
      <c r="G154" s="10" t="s">
        <v>185</v>
      </c>
      <c r="H154"/>
      <c r="J154" s="6">
        <v>46198</v>
      </c>
      <c r="K154" s="12">
        <v>-78.295014894088752</v>
      </c>
      <c r="M154">
        <f t="shared" si="4"/>
        <v>0</v>
      </c>
      <c r="N154" s="13">
        <f t="shared" si="5"/>
        <v>2.1800000000000002</v>
      </c>
      <c r="P154" s="14" t="s">
        <v>117</v>
      </c>
    </row>
    <row r="155" spans="1:16" x14ac:dyDescent="0.25">
      <c r="A155" s="1" t="s">
        <v>299</v>
      </c>
      <c r="B155" s="1" t="s">
        <v>100</v>
      </c>
      <c r="C155" t="s">
        <v>93</v>
      </c>
      <c r="E155" s="4">
        <v>61763</v>
      </c>
      <c r="F155" s="5">
        <v>159716.47</v>
      </c>
      <c r="G155" s="10" t="s">
        <v>198</v>
      </c>
      <c r="H155"/>
      <c r="J155" s="6">
        <v>46299</v>
      </c>
      <c r="K155" s="12">
        <v>7855.479134610825</v>
      </c>
      <c r="M155">
        <f t="shared" si="4"/>
        <v>15464</v>
      </c>
      <c r="N155" s="13">
        <f t="shared" si="5"/>
        <v>0.05</v>
      </c>
      <c r="P155" s="14" t="s">
        <v>217</v>
      </c>
    </row>
    <row r="156" spans="1:16" x14ac:dyDescent="0.25">
      <c r="A156" s="1" t="s">
        <v>300</v>
      </c>
      <c r="B156" s="1" t="s">
        <v>100</v>
      </c>
      <c r="C156" t="s">
        <v>93</v>
      </c>
      <c r="E156" s="4">
        <v>53835</v>
      </c>
      <c r="F156" s="5">
        <v>68136.13</v>
      </c>
      <c r="G156" s="10" t="s">
        <v>94</v>
      </c>
      <c r="H156"/>
      <c r="J156" s="6">
        <v>46257</v>
      </c>
      <c r="K156" s="12">
        <v>13920.25283666107</v>
      </c>
      <c r="M156">
        <f t="shared" si="4"/>
        <v>7578</v>
      </c>
      <c r="N156" s="13">
        <f t="shared" si="5"/>
        <v>0.2</v>
      </c>
      <c r="P156" s="14" t="s">
        <v>217</v>
      </c>
    </row>
    <row r="157" spans="1:16" x14ac:dyDescent="0.25">
      <c r="A157" s="1" t="s">
        <v>301</v>
      </c>
      <c r="B157" s="1" t="s">
        <v>100</v>
      </c>
      <c r="C157" t="s">
        <v>93</v>
      </c>
      <c r="E157" s="4">
        <v>48396</v>
      </c>
      <c r="F157" s="5">
        <v>-9.57</v>
      </c>
      <c r="H157"/>
      <c r="J157" s="6">
        <v>46874</v>
      </c>
      <c r="K157" s="12">
        <v>-5.6894906635536842</v>
      </c>
      <c r="M157">
        <f t="shared" si="4"/>
        <v>1522</v>
      </c>
      <c r="N157" s="13">
        <f t="shared" si="5"/>
        <v>0.59</v>
      </c>
      <c r="P157" s="14" t="s">
        <v>117</v>
      </c>
    </row>
    <row r="158" spans="1:16" x14ac:dyDescent="0.25">
      <c r="A158" s="1" t="s">
        <v>302</v>
      </c>
      <c r="B158" s="1" t="s">
        <v>100</v>
      </c>
      <c r="C158" t="s">
        <v>93</v>
      </c>
      <c r="E158" s="4">
        <v>49028</v>
      </c>
      <c r="F158" s="5">
        <v>-16.93</v>
      </c>
      <c r="H158"/>
      <c r="J158" s="6">
        <v>46624</v>
      </c>
      <c r="K158" s="12">
        <v>4131.0256568786126</v>
      </c>
      <c r="M158">
        <f t="shared" si="4"/>
        <v>2404</v>
      </c>
      <c r="N158" s="13">
        <f t="shared" si="5"/>
        <v>-244.01</v>
      </c>
      <c r="P158" s="14" t="s">
        <v>117</v>
      </c>
    </row>
    <row r="159" spans="1:16" x14ac:dyDescent="0.25">
      <c r="A159" s="1" t="s">
        <v>303</v>
      </c>
      <c r="B159" s="1" t="s">
        <v>100</v>
      </c>
      <c r="C159" t="s">
        <v>93</v>
      </c>
      <c r="E159" s="4">
        <v>52069</v>
      </c>
      <c r="F159" s="5">
        <v>-290.33999999999997</v>
      </c>
      <c r="H159"/>
      <c r="J159" s="6">
        <v>51126</v>
      </c>
      <c r="K159" s="12">
        <v>-101.490306987332</v>
      </c>
      <c r="M159">
        <f t="shared" si="4"/>
        <v>943</v>
      </c>
      <c r="N159" s="13">
        <f t="shared" si="5"/>
        <v>0.35</v>
      </c>
      <c r="P159" s="14" t="s">
        <v>117</v>
      </c>
    </row>
    <row r="160" spans="1:16" x14ac:dyDescent="0.25">
      <c r="A160" s="1" t="s">
        <v>304</v>
      </c>
      <c r="B160" s="1" t="s">
        <v>100</v>
      </c>
      <c r="C160" t="s">
        <v>93</v>
      </c>
      <c r="E160" s="4">
        <v>52995</v>
      </c>
      <c r="F160" s="5">
        <v>-47.36</v>
      </c>
      <c r="H160"/>
      <c r="J160" s="6">
        <v>51927</v>
      </c>
      <c r="K160" s="12">
        <v>-115.9784673100756</v>
      </c>
      <c r="M160">
        <f t="shared" si="4"/>
        <v>1068</v>
      </c>
      <c r="N160" s="13">
        <f t="shared" si="5"/>
        <v>2.4500000000000002</v>
      </c>
      <c r="P160" s="14" t="s">
        <v>117</v>
      </c>
    </row>
    <row r="161" spans="1:16" x14ac:dyDescent="0.25">
      <c r="A161" s="1" t="s">
        <v>305</v>
      </c>
      <c r="B161" s="1" t="s">
        <v>306</v>
      </c>
      <c r="C161" s="3">
        <v>31594</v>
      </c>
      <c r="E161" s="4">
        <v>49793</v>
      </c>
      <c r="F161" s="5">
        <v>-2.27</v>
      </c>
      <c r="H161"/>
      <c r="J161" s="6">
        <v>49793</v>
      </c>
      <c r="K161" s="12">
        <v>-2.319287648081207</v>
      </c>
      <c r="M161">
        <f t="shared" si="4"/>
        <v>0</v>
      </c>
      <c r="N161" s="13">
        <f t="shared" si="5"/>
        <v>1.02</v>
      </c>
      <c r="P161" s="14" t="s">
        <v>117</v>
      </c>
    </row>
    <row r="162" spans="1:16" x14ac:dyDescent="0.25">
      <c r="A162" s="1" t="s">
        <v>307</v>
      </c>
      <c r="B162" s="1" t="s">
        <v>306</v>
      </c>
      <c r="C162" s="3">
        <v>31594</v>
      </c>
      <c r="E162" s="4">
        <v>56286</v>
      </c>
      <c r="F162" s="5">
        <v>-16.309999999999999</v>
      </c>
      <c r="G162" s="10" t="s">
        <v>234</v>
      </c>
      <c r="H162"/>
      <c r="J162" s="6">
        <v>56286</v>
      </c>
      <c r="K162" s="12">
        <v>-16.458451928198041</v>
      </c>
      <c r="M162">
        <f t="shared" si="4"/>
        <v>0</v>
      </c>
      <c r="N162" s="13">
        <f t="shared" si="5"/>
        <v>1.01</v>
      </c>
      <c r="P162" s="14" t="s">
        <v>117</v>
      </c>
    </row>
    <row r="163" spans="1:16" x14ac:dyDescent="0.25">
      <c r="A163" s="1" t="s">
        <v>308</v>
      </c>
      <c r="B163" s="1" t="s">
        <v>306</v>
      </c>
      <c r="C163" s="3">
        <v>31594</v>
      </c>
      <c r="E163" s="4">
        <v>51172</v>
      </c>
      <c r="F163" s="5">
        <v>-4.99</v>
      </c>
      <c r="G163" s="10" t="s">
        <v>234</v>
      </c>
      <c r="H163"/>
      <c r="J163" s="6">
        <v>50562</v>
      </c>
      <c r="K163" s="12">
        <v>-0.76668709183958939</v>
      </c>
      <c r="M163">
        <f t="shared" si="4"/>
        <v>610</v>
      </c>
      <c r="N163" s="13">
        <f t="shared" si="5"/>
        <v>0.15</v>
      </c>
      <c r="P163" s="14"/>
    </row>
    <row r="164" spans="1:16" x14ac:dyDescent="0.25">
      <c r="A164" s="1" t="s">
        <v>309</v>
      </c>
      <c r="B164" s="1" t="s">
        <v>53</v>
      </c>
      <c r="C164" t="s">
        <v>54</v>
      </c>
      <c r="E164" s="4">
        <v>51335</v>
      </c>
      <c r="F164" s="5">
        <v>-39.56</v>
      </c>
      <c r="H164"/>
      <c r="J164" s="6">
        <v>46191</v>
      </c>
      <c r="K164" s="12">
        <v>13791.735513532751</v>
      </c>
      <c r="M164">
        <f t="shared" si="4"/>
        <v>5144</v>
      </c>
      <c r="N164" s="13">
        <f t="shared" si="5"/>
        <v>-348.63</v>
      </c>
      <c r="P164" s="14" t="s">
        <v>117</v>
      </c>
    </row>
    <row r="165" spans="1:16" x14ac:dyDescent="0.25">
      <c r="A165" s="1" t="s">
        <v>310</v>
      </c>
      <c r="B165" s="1" t="s">
        <v>311</v>
      </c>
      <c r="C165" t="s">
        <v>312</v>
      </c>
      <c r="E165" s="4">
        <v>46881</v>
      </c>
      <c r="F165" s="5">
        <v>-101.74</v>
      </c>
      <c r="H165"/>
      <c r="J165" s="6">
        <v>46881</v>
      </c>
      <c r="K165" s="12">
        <v>-101.84813742096939</v>
      </c>
      <c r="M165">
        <f t="shared" si="4"/>
        <v>0</v>
      </c>
      <c r="N165" s="13">
        <f t="shared" si="5"/>
        <v>1</v>
      </c>
      <c r="P165" s="14" t="s">
        <v>117</v>
      </c>
    </row>
    <row r="166" spans="1:16" x14ac:dyDescent="0.25">
      <c r="A166" s="1" t="s">
        <v>313</v>
      </c>
      <c r="B166" s="1" t="s">
        <v>306</v>
      </c>
      <c r="C166" s="3">
        <v>31594</v>
      </c>
      <c r="E166" s="4">
        <v>52753</v>
      </c>
      <c r="F166" s="5">
        <v>-21.56</v>
      </c>
      <c r="H166"/>
      <c r="J166" s="6">
        <v>52753</v>
      </c>
      <c r="K166" s="12">
        <v>-21.656838658312338</v>
      </c>
      <c r="M166">
        <f t="shared" si="4"/>
        <v>0</v>
      </c>
      <c r="N166" s="13">
        <f t="shared" si="5"/>
        <v>1</v>
      </c>
      <c r="P166" s="14" t="s">
        <v>117</v>
      </c>
    </row>
    <row r="167" spans="1:16" x14ac:dyDescent="0.25">
      <c r="A167" s="1" t="s">
        <v>314</v>
      </c>
      <c r="B167" s="1" t="s">
        <v>53</v>
      </c>
      <c r="C167" t="s">
        <v>54</v>
      </c>
      <c r="E167" s="4">
        <v>48867</v>
      </c>
      <c r="F167" s="5">
        <v>-476.84</v>
      </c>
      <c r="H167"/>
      <c r="J167" s="6">
        <v>48867</v>
      </c>
      <c r="K167" s="12">
        <v>-478.44019876192812</v>
      </c>
      <c r="M167">
        <f t="shared" si="4"/>
        <v>0</v>
      </c>
      <c r="N167" s="13">
        <f t="shared" si="5"/>
        <v>1</v>
      </c>
      <c r="P167" s="14" t="s">
        <v>117</v>
      </c>
    </row>
    <row r="168" spans="1:16" x14ac:dyDescent="0.25">
      <c r="A168" s="1" t="s">
        <v>315</v>
      </c>
      <c r="B168" s="1" t="s">
        <v>316</v>
      </c>
      <c r="C168" t="s">
        <v>317</v>
      </c>
      <c r="E168" s="4">
        <v>46192</v>
      </c>
      <c r="F168" s="5">
        <v>-891.73</v>
      </c>
      <c r="H168"/>
      <c r="J168" s="6">
        <v>46192</v>
      </c>
      <c r="K168" s="12">
        <v>-891.73170510945829</v>
      </c>
      <c r="M168">
        <f t="shared" si="4"/>
        <v>0</v>
      </c>
      <c r="N168" s="13">
        <f t="shared" si="5"/>
        <v>1</v>
      </c>
      <c r="P168" s="14" t="s">
        <v>117</v>
      </c>
    </row>
    <row r="169" spans="1:16" x14ac:dyDescent="0.25">
      <c r="A169" s="1" t="s">
        <v>318</v>
      </c>
      <c r="B169" s="1" t="s">
        <v>53</v>
      </c>
      <c r="C169" t="s">
        <v>54</v>
      </c>
      <c r="E169" s="4">
        <v>51492</v>
      </c>
      <c r="F169" s="5">
        <v>-151.97</v>
      </c>
      <c r="G169" s="10" t="s">
        <v>198</v>
      </c>
      <c r="H169"/>
      <c r="J169" s="6">
        <v>51462</v>
      </c>
      <c r="K169" s="12">
        <v>-155.06953347956161</v>
      </c>
      <c r="M169">
        <f t="shared" si="4"/>
        <v>30</v>
      </c>
      <c r="N169" s="13">
        <f t="shared" si="5"/>
        <v>1.02</v>
      </c>
      <c r="P169" s="14" t="s">
        <v>170</v>
      </c>
    </row>
    <row r="170" spans="1:16" x14ac:dyDescent="0.25">
      <c r="A170" s="1" t="s">
        <v>52</v>
      </c>
      <c r="B170" s="1" t="s">
        <v>53</v>
      </c>
      <c r="C170" t="s">
        <v>54</v>
      </c>
      <c r="E170" s="4">
        <v>54053</v>
      </c>
      <c r="F170" s="5">
        <v>57598.7</v>
      </c>
      <c r="G170" s="10" t="s">
        <v>55</v>
      </c>
      <c r="H170"/>
      <c r="J170" s="6">
        <v>54053</v>
      </c>
      <c r="K170" s="12">
        <v>57520.923302811927</v>
      </c>
      <c r="M170">
        <f t="shared" si="4"/>
        <v>0</v>
      </c>
      <c r="N170" s="13">
        <f t="shared" si="5"/>
        <v>1</v>
      </c>
      <c r="P170" s="14" t="s">
        <v>117</v>
      </c>
    </row>
    <row r="171" spans="1:16" x14ac:dyDescent="0.25">
      <c r="A171" s="1" t="s">
        <v>319</v>
      </c>
      <c r="B171" s="1" t="s">
        <v>53</v>
      </c>
      <c r="C171" t="s">
        <v>54</v>
      </c>
      <c r="E171" s="4">
        <v>51102</v>
      </c>
      <c r="F171" s="5">
        <v>-71.209999999999994</v>
      </c>
      <c r="G171" s="10" t="s">
        <v>198</v>
      </c>
      <c r="H171"/>
      <c r="J171" s="6">
        <v>51102</v>
      </c>
      <c r="K171" s="12">
        <v>-258.81811457987101</v>
      </c>
      <c r="M171">
        <f t="shared" si="4"/>
        <v>0</v>
      </c>
      <c r="N171" s="13">
        <f t="shared" si="5"/>
        <v>3.63</v>
      </c>
      <c r="P171" s="14"/>
    </row>
    <row r="172" spans="1:16" x14ac:dyDescent="0.25">
      <c r="A172" s="1" t="s">
        <v>320</v>
      </c>
      <c r="B172" s="1" t="s">
        <v>316</v>
      </c>
      <c r="C172" t="s">
        <v>317</v>
      </c>
      <c r="E172" s="4">
        <v>49319</v>
      </c>
      <c r="F172" s="5">
        <v>-402.73</v>
      </c>
      <c r="H172"/>
      <c r="J172" s="6">
        <v>49319</v>
      </c>
      <c r="K172" s="12">
        <v>-403.39994555319112</v>
      </c>
      <c r="M172">
        <f t="shared" si="4"/>
        <v>0</v>
      </c>
      <c r="N172" s="13">
        <f t="shared" si="5"/>
        <v>1</v>
      </c>
      <c r="P172" s="14" t="s">
        <v>117</v>
      </c>
    </row>
    <row r="173" spans="1:16" x14ac:dyDescent="0.25">
      <c r="A173" s="1" t="s">
        <v>321</v>
      </c>
      <c r="B173" s="1" t="s">
        <v>53</v>
      </c>
      <c r="C173" t="s">
        <v>54</v>
      </c>
      <c r="E173" s="4">
        <v>46517</v>
      </c>
      <c r="F173" s="5">
        <v>-153.79</v>
      </c>
      <c r="H173"/>
      <c r="J173" s="6">
        <v>46517</v>
      </c>
      <c r="K173" s="12">
        <v>-153.82247980349939</v>
      </c>
      <c r="M173">
        <f t="shared" si="4"/>
        <v>0</v>
      </c>
      <c r="N173" s="13">
        <f t="shared" si="5"/>
        <v>1</v>
      </c>
      <c r="P173" s="14" t="s">
        <v>117</v>
      </c>
    </row>
    <row r="174" spans="1:16" x14ac:dyDescent="0.25">
      <c r="A174" s="1" t="s">
        <v>322</v>
      </c>
      <c r="B174" s="1" t="s">
        <v>53</v>
      </c>
      <c r="C174" t="s">
        <v>54</v>
      </c>
      <c r="E174" s="4">
        <v>51358</v>
      </c>
      <c r="F174" s="5">
        <v>-129.61000000000001</v>
      </c>
      <c r="H174"/>
      <c r="J174" s="6">
        <v>51358</v>
      </c>
      <c r="K174" s="12">
        <v>-131.27886466989631</v>
      </c>
      <c r="M174">
        <f t="shared" si="4"/>
        <v>0</v>
      </c>
      <c r="N174" s="13">
        <f t="shared" si="5"/>
        <v>1.01</v>
      </c>
      <c r="P174" s="14" t="s">
        <v>117</v>
      </c>
    </row>
    <row r="175" spans="1:16" x14ac:dyDescent="0.25">
      <c r="A175" s="1" t="s">
        <v>323</v>
      </c>
      <c r="B175" s="1" t="s">
        <v>316</v>
      </c>
      <c r="C175" t="s">
        <v>317</v>
      </c>
      <c r="E175" s="4">
        <v>48050</v>
      </c>
      <c r="F175" s="5">
        <v>-138.80000000000001</v>
      </c>
      <c r="H175"/>
      <c r="J175" s="6">
        <v>48050</v>
      </c>
      <c r="K175" s="12">
        <v>-140.46899678456481</v>
      </c>
      <c r="M175">
        <f t="shared" si="4"/>
        <v>0</v>
      </c>
      <c r="N175" s="13">
        <f t="shared" si="5"/>
        <v>1.01</v>
      </c>
      <c r="P175" s="14" t="s">
        <v>117</v>
      </c>
    </row>
    <row r="176" spans="1:16" x14ac:dyDescent="0.25">
      <c r="A176" s="1" t="s">
        <v>56</v>
      </c>
      <c r="B176" s="1" t="s">
        <v>53</v>
      </c>
      <c r="C176" t="s">
        <v>54</v>
      </c>
      <c r="E176" s="4">
        <v>47702</v>
      </c>
      <c r="F176" s="5">
        <v>-28.27</v>
      </c>
      <c r="H176" s="10" t="s">
        <v>817</v>
      </c>
      <c r="J176" s="6">
        <v>47094</v>
      </c>
      <c r="K176" s="12">
        <v>738.95544723804107</v>
      </c>
      <c r="M176">
        <f t="shared" si="4"/>
        <v>608</v>
      </c>
      <c r="N176" s="13">
        <f t="shared" si="5"/>
        <v>-26.14</v>
      </c>
      <c r="P176" s="14" t="s">
        <v>819</v>
      </c>
    </row>
    <row r="177" spans="1:16" x14ac:dyDescent="0.25">
      <c r="A177" s="1" t="s">
        <v>324</v>
      </c>
      <c r="B177" s="1" t="s">
        <v>53</v>
      </c>
      <c r="C177" t="s">
        <v>54</v>
      </c>
      <c r="E177" s="4">
        <v>47191</v>
      </c>
      <c r="F177" s="5">
        <v>-120.63</v>
      </c>
      <c r="H177"/>
      <c r="J177" s="6">
        <v>47191</v>
      </c>
      <c r="K177" s="12">
        <v>-120.84977776284821</v>
      </c>
      <c r="M177">
        <f t="shared" si="4"/>
        <v>0</v>
      </c>
      <c r="N177" s="13">
        <f t="shared" si="5"/>
        <v>1</v>
      </c>
      <c r="P177" s="14" t="s">
        <v>117</v>
      </c>
    </row>
    <row r="178" spans="1:16" x14ac:dyDescent="0.25">
      <c r="A178" s="1" t="s">
        <v>325</v>
      </c>
      <c r="B178" s="1" t="s">
        <v>53</v>
      </c>
      <c r="C178" t="s">
        <v>54</v>
      </c>
      <c r="E178" s="4">
        <v>55366</v>
      </c>
      <c r="F178" s="5">
        <v>-783.27</v>
      </c>
      <c r="H178"/>
      <c r="J178" s="6">
        <v>55366</v>
      </c>
      <c r="K178" s="12">
        <v>-807.2761672674477</v>
      </c>
      <c r="M178">
        <f t="shared" si="4"/>
        <v>0</v>
      </c>
      <c r="N178" s="13">
        <f t="shared" si="5"/>
        <v>1.03</v>
      </c>
      <c r="P178" s="14" t="s">
        <v>117</v>
      </c>
    </row>
    <row r="179" spans="1:16" x14ac:dyDescent="0.25">
      <c r="A179" s="1" t="s">
        <v>326</v>
      </c>
      <c r="B179" s="1" t="s">
        <v>316</v>
      </c>
      <c r="C179" t="s">
        <v>317</v>
      </c>
      <c r="E179" s="4">
        <v>50607</v>
      </c>
      <c r="F179" s="5">
        <v>-84.64</v>
      </c>
      <c r="H179"/>
      <c r="J179" s="6">
        <v>50607</v>
      </c>
      <c r="K179" s="12">
        <v>-87.209055361069147</v>
      </c>
      <c r="M179">
        <f t="shared" si="4"/>
        <v>0</v>
      </c>
      <c r="N179" s="13">
        <f t="shared" si="5"/>
        <v>1.03</v>
      </c>
      <c r="P179" s="14" t="s">
        <v>117</v>
      </c>
    </row>
    <row r="180" spans="1:16" x14ac:dyDescent="0.25">
      <c r="A180" s="1" t="s">
        <v>327</v>
      </c>
      <c r="B180" s="1" t="s">
        <v>58</v>
      </c>
      <c r="C180" t="s">
        <v>54</v>
      </c>
      <c r="E180" s="4">
        <v>46662</v>
      </c>
      <c r="F180" s="5">
        <v>-226.96</v>
      </c>
      <c r="G180" s="10" t="s">
        <v>328</v>
      </c>
      <c r="H180"/>
      <c r="J180" s="6">
        <v>46662</v>
      </c>
      <c r="K180" s="12">
        <v>-226.98990599361181</v>
      </c>
      <c r="M180">
        <f t="shared" si="4"/>
        <v>0</v>
      </c>
      <c r="N180" s="13">
        <f t="shared" si="5"/>
        <v>1</v>
      </c>
      <c r="P180" s="14" t="s">
        <v>117</v>
      </c>
    </row>
    <row r="181" spans="1:16" x14ac:dyDescent="0.25">
      <c r="A181" s="1" t="s">
        <v>329</v>
      </c>
      <c r="B181" s="1" t="s">
        <v>64</v>
      </c>
      <c r="C181" s="3">
        <v>31594</v>
      </c>
      <c r="E181" s="4">
        <v>56714</v>
      </c>
      <c r="F181" s="5">
        <v>-104.62</v>
      </c>
      <c r="H181"/>
      <c r="J181" s="6">
        <v>56714</v>
      </c>
      <c r="K181" s="12">
        <v>-105.4073303012722</v>
      </c>
      <c r="M181">
        <f t="shared" si="4"/>
        <v>0</v>
      </c>
      <c r="N181" s="13">
        <f t="shared" si="5"/>
        <v>1.01</v>
      </c>
      <c r="P181" s="14" t="s">
        <v>117</v>
      </c>
    </row>
    <row r="182" spans="1:16" x14ac:dyDescent="0.25">
      <c r="A182" s="1" t="s">
        <v>330</v>
      </c>
      <c r="B182" s="1" t="s">
        <v>331</v>
      </c>
      <c r="C182" t="s">
        <v>317</v>
      </c>
      <c r="E182" s="4">
        <v>48260</v>
      </c>
      <c r="F182" s="5">
        <v>-175.05</v>
      </c>
      <c r="H182"/>
      <c r="J182" s="6">
        <v>48260</v>
      </c>
      <c r="K182" s="12">
        <v>-175.42924432133651</v>
      </c>
      <c r="M182">
        <f t="shared" si="4"/>
        <v>0</v>
      </c>
      <c r="N182" s="13">
        <f t="shared" si="5"/>
        <v>1</v>
      </c>
      <c r="P182" s="14" t="s">
        <v>117</v>
      </c>
    </row>
    <row r="183" spans="1:16" x14ac:dyDescent="0.25">
      <c r="A183" s="1" t="s">
        <v>332</v>
      </c>
      <c r="B183" s="1" t="s">
        <v>58</v>
      </c>
      <c r="C183" t="s">
        <v>54</v>
      </c>
      <c r="E183" s="4">
        <v>52308</v>
      </c>
      <c r="F183" s="5">
        <v>-85.04</v>
      </c>
      <c r="H183"/>
      <c r="J183" s="6">
        <v>52308</v>
      </c>
      <c r="K183" s="12">
        <v>-95.174586604888532</v>
      </c>
      <c r="M183">
        <f t="shared" si="4"/>
        <v>0</v>
      </c>
      <c r="N183" s="13">
        <f t="shared" si="5"/>
        <v>1.1200000000000001</v>
      </c>
      <c r="P183" s="14" t="s">
        <v>117</v>
      </c>
    </row>
    <row r="184" spans="1:16" x14ac:dyDescent="0.25">
      <c r="A184" s="1" t="s">
        <v>333</v>
      </c>
      <c r="B184" s="1" t="s">
        <v>58</v>
      </c>
      <c r="C184" t="s">
        <v>54</v>
      </c>
      <c r="E184" s="4">
        <v>50747</v>
      </c>
      <c r="F184" s="5">
        <v>-300.69</v>
      </c>
      <c r="G184" s="10" t="s">
        <v>198</v>
      </c>
      <c r="H184"/>
      <c r="J184" s="6">
        <v>50686</v>
      </c>
      <c r="K184" s="12">
        <v>-218.2188424561121</v>
      </c>
      <c r="M184">
        <f t="shared" si="4"/>
        <v>61</v>
      </c>
      <c r="N184" s="13">
        <f t="shared" si="5"/>
        <v>0.73</v>
      </c>
      <c r="P184" s="14"/>
    </row>
    <row r="185" spans="1:16" x14ac:dyDescent="0.25">
      <c r="A185" s="1" t="s">
        <v>57</v>
      </c>
      <c r="B185" s="1" t="s">
        <v>58</v>
      </c>
      <c r="C185" t="s">
        <v>54</v>
      </c>
      <c r="E185" s="4">
        <v>52575</v>
      </c>
      <c r="F185" s="5">
        <v>873.61</v>
      </c>
      <c r="H185"/>
      <c r="J185" s="6">
        <v>52575</v>
      </c>
      <c r="K185" s="12">
        <v>1810.6494119598431</v>
      </c>
      <c r="M185">
        <f t="shared" si="4"/>
        <v>0</v>
      </c>
      <c r="N185" s="13">
        <f t="shared" si="5"/>
        <v>2.0699999999999998</v>
      </c>
      <c r="P185" s="14" t="s">
        <v>170</v>
      </c>
    </row>
    <row r="186" spans="1:16" x14ac:dyDescent="0.25">
      <c r="A186" s="1" t="s">
        <v>334</v>
      </c>
      <c r="B186" s="1" t="s">
        <v>58</v>
      </c>
      <c r="C186" t="s">
        <v>54</v>
      </c>
      <c r="E186" s="4">
        <v>47437</v>
      </c>
      <c r="F186" s="5">
        <v>-153.94</v>
      </c>
      <c r="H186"/>
      <c r="J186" s="6">
        <v>47437</v>
      </c>
      <c r="K186" s="12">
        <v>-154.14865333692899</v>
      </c>
      <c r="M186">
        <f t="shared" si="4"/>
        <v>0</v>
      </c>
      <c r="N186" s="13">
        <f t="shared" si="5"/>
        <v>1</v>
      </c>
      <c r="P186" s="14" t="s">
        <v>117</v>
      </c>
    </row>
    <row r="187" spans="1:16" x14ac:dyDescent="0.25">
      <c r="A187" s="1" t="s">
        <v>335</v>
      </c>
      <c r="B187" s="1" t="s">
        <v>58</v>
      </c>
      <c r="C187" t="s">
        <v>54</v>
      </c>
      <c r="E187" s="4">
        <v>48850</v>
      </c>
      <c r="F187" s="5">
        <v>-65.989999999999995</v>
      </c>
      <c r="G187" s="10" t="s">
        <v>328</v>
      </c>
      <c r="H187"/>
      <c r="J187" s="6">
        <v>49671</v>
      </c>
      <c r="K187" s="12">
        <v>-114.4611805830032</v>
      </c>
      <c r="M187">
        <f t="shared" si="4"/>
        <v>-821</v>
      </c>
      <c r="N187" s="13">
        <f t="shared" si="5"/>
        <v>1.73</v>
      </c>
      <c r="P187" s="14" t="s">
        <v>117</v>
      </c>
    </row>
    <row r="188" spans="1:16" x14ac:dyDescent="0.25">
      <c r="A188" s="1" t="s">
        <v>336</v>
      </c>
      <c r="B188" s="1" t="s">
        <v>58</v>
      </c>
      <c r="C188" t="s">
        <v>54</v>
      </c>
      <c r="E188" s="4">
        <v>46793</v>
      </c>
      <c r="F188" s="5">
        <v>-43.7</v>
      </c>
      <c r="G188" s="10" t="s">
        <v>188</v>
      </c>
      <c r="H188"/>
      <c r="J188" s="6">
        <v>46793</v>
      </c>
      <c r="K188" s="12">
        <v>-43.768354258158112</v>
      </c>
      <c r="M188">
        <f t="shared" si="4"/>
        <v>0</v>
      </c>
      <c r="N188" s="13">
        <f t="shared" si="5"/>
        <v>1</v>
      </c>
      <c r="P188" s="14" t="s">
        <v>117</v>
      </c>
    </row>
    <row r="189" spans="1:16" x14ac:dyDescent="0.25">
      <c r="A189" s="1" t="s">
        <v>337</v>
      </c>
      <c r="B189" s="1" t="s">
        <v>58</v>
      </c>
      <c r="C189" t="s">
        <v>54</v>
      </c>
      <c r="E189" s="4">
        <v>50420</v>
      </c>
      <c r="F189" s="5">
        <v>-201.38</v>
      </c>
      <c r="G189" s="10" t="s">
        <v>198</v>
      </c>
      <c r="H189"/>
      <c r="J189" s="6">
        <v>50420</v>
      </c>
      <c r="K189" s="12">
        <v>-237.2186124993718</v>
      </c>
      <c r="M189">
        <f t="shared" si="4"/>
        <v>0</v>
      </c>
      <c r="N189" s="13">
        <f t="shared" si="5"/>
        <v>1.18</v>
      </c>
      <c r="P189" s="14"/>
    </row>
    <row r="190" spans="1:16" x14ac:dyDescent="0.25">
      <c r="A190" s="1" t="s">
        <v>338</v>
      </c>
      <c r="B190" s="1" t="s">
        <v>331</v>
      </c>
      <c r="C190" t="s">
        <v>317</v>
      </c>
      <c r="E190" s="4">
        <v>47845</v>
      </c>
      <c r="F190" s="5">
        <v>-40.99</v>
      </c>
      <c r="H190"/>
      <c r="J190" s="6">
        <v>47845</v>
      </c>
      <c r="K190" s="12">
        <v>-41.344670918002613</v>
      </c>
      <c r="M190">
        <f t="shared" si="4"/>
        <v>0</v>
      </c>
      <c r="N190" s="13">
        <f t="shared" si="5"/>
        <v>1.01</v>
      </c>
      <c r="P190" s="14" t="s">
        <v>117</v>
      </c>
    </row>
    <row r="191" spans="1:16" x14ac:dyDescent="0.25">
      <c r="A191" s="1" t="s">
        <v>339</v>
      </c>
      <c r="B191" s="1" t="s">
        <v>64</v>
      </c>
      <c r="C191" s="3">
        <v>31594</v>
      </c>
      <c r="E191" s="4">
        <v>53073</v>
      </c>
      <c r="F191" s="5">
        <v>-17.440000000000001</v>
      </c>
      <c r="H191"/>
      <c r="J191" s="6">
        <v>53073</v>
      </c>
      <c r="K191" s="12">
        <v>-18.386968505846099</v>
      </c>
      <c r="M191">
        <f t="shared" si="4"/>
        <v>0</v>
      </c>
      <c r="N191" s="13">
        <f t="shared" si="5"/>
        <v>1.05</v>
      </c>
      <c r="P191" s="14" t="s">
        <v>117</v>
      </c>
    </row>
    <row r="192" spans="1:16" x14ac:dyDescent="0.25">
      <c r="A192" s="1" t="s">
        <v>340</v>
      </c>
      <c r="B192" s="1" t="s">
        <v>58</v>
      </c>
      <c r="C192" t="s">
        <v>54</v>
      </c>
      <c r="E192" s="4">
        <v>49079</v>
      </c>
      <c r="F192" s="5">
        <v>-4.78</v>
      </c>
      <c r="H192"/>
      <c r="J192" s="6">
        <v>49079</v>
      </c>
      <c r="K192" s="12">
        <v>-4.8172366199447652</v>
      </c>
      <c r="M192">
        <f t="shared" si="4"/>
        <v>0</v>
      </c>
      <c r="N192" s="13">
        <f t="shared" si="5"/>
        <v>1.01</v>
      </c>
      <c r="P192" s="14" t="s">
        <v>117</v>
      </c>
    </row>
    <row r="193" spans="1:16" x14ac:dyDescent="0.25">
      <c r="A193" s="1" t="s">
        <v>341</v>
      </c>
      <c r="B193" s="1" t="s">
        <v>58</v>
      </c>
      <c r="C193" t="s">
        <v>54</v>
      </c>
      <c r="E193" s="4">
        <v>47223</v>
      </c>
      <c r="F193" s="5">
        <v>-33.479999999999997</v>
      </c>
      <c r="H193"/>
      <c r="J193" s="6">
        <v>47223</v>
      </c>
      <c r="K193" s="12">
        <v>-33.410538994300438</v>
      </c>
      <c r="M193">
        <f t="shared" si="4"/>
        <v>0</v>
      </c>
      <c r="N193" s="13">
        <f t="shared" si="5"/>
        <v>1</v>
      </c>
      <c r="P193" s="14" t="s">
        <v>117</v>
      </c>
    </row>
    <row r="194" spans="1:16" x14ac:dyDescent="0.25">
      <c r="A194" s="1" t="s">
        <v>342</v>
      </c>
      <c r="B194" s="1" t="s">
        <v>58</v>
      </c>
      <c r="C194" t="s">
        <v>54</v>
      </c>
      <c r="E194" s="4">
        <v>52119</v>
      </c>
      <c r="F194" s="5">
        <v>-879.3</v>
      </c>
      <c r="H194"/>
      <c r="J194" s="6">
        <v>52088</v>
      </c>
      <c r="K194" s="12">
        <v>-5.2490789648851433</v>
      </c>
      <c r="M194">
        <f t="shared" ref="M194:M257" si="6">E194-J194</f>
        <v>31</v>
      </c>
      <c r="N194" s="13">
        <f t="shared" ref="N194:N257" si="7">ROUND(K194/F194,2)</f>
        <v>0.01</v>
      </c>
      <c r="P194" s="14" t="s">
        <v>117</v>
      </c>
    </row>
    <row r="195" spans="1:16" x14ac:dyDescent="0.25">
      <c r="A195" s="1" t="s">
        <v>343</v>
      </c>
      <c r="B195" s="1" t="s">
        <v>64</v>
      </c>
      <c r="C195" s="3">
        <v>31594</v>
      </c>
      <c r="E195" s="4">
        <v>51565</v>
      </c>
      <c r="F195" s="5">
        <v>-10.9</v>
      </c>
      <c r="H195"/>
      <c r="J195" s="6">
        <v>51565</v>
      </c>
      <c r="K195" s="12">
        <v>-10.99631991069327</v>
      </c>
      <c r="M195">
        <f t="shared" si="6"/>
        <v>0</v>
      </c>
      <c r="N195" s="13">
        <f t="shared" si="7"/>
        <v>1.01</v>
      </c>
      <c r="P195" s="14" t="s">
        <v>117</v>
      </c>
    </row>
    <row r="196" spans="1:16" x14ac:dyDescent="0.25">
      <c r="A196" s="1" t="s">
        <v>344</v>
      </c>
      <c r="B196" s="1" t="s">
        <v>58</v>
      </c>
      <c r="C196" t="s">
        <v>54</v>
      </c>
      <c r="E196" s="4">
        <v>47062</v>
      </c>
      <c r="F196" s="5">
        <v>-224.21</v>
      </c>
      <c r="H196"/>
      <c r="J196" s="6">
        <v>47062</v>
      </c>
      <c r="K196" s="12">
        <v>-224.25682404672389</v>
      </c>
      <c r="M196">
        <f t="shared" si="6"/>
        <v>0</v>
      </c>
      <c r="N196" s="13">
        <f t="shared" si="7"/>
        <v>1</v>
      </c>
      <c r="P196" s="14" t="s">
        <v>117</v>
      </c>
    </row>
    <row r="197" spans="1:16" x14ac:dyDescent="0.25">
      <c r="A197" s="1" t="s">
        <v>345</v>
      </c>
      <c r="B197" s="1" t="s">
        <v>58</v>
      </c>
      <c r="C197" t="s">
        <v>54</v>
      </c>
      <c r="E197" s="4">
        <v>50299</v>
      </c>
      <c r="F197" s="5">
        <v>-128.71</v>
      </c>
      <c r="H197"/>
      <c r="J197" s="6">
        <v>50299</v>
      </c>
      <c r="K197" s="12">
        <v>-127.978822445864</v>
      </c>
      <c r="M197">
        <f t="shared" si="6"/>
        <v>0</v>
      </c>
      <c r="N197" s="13">
        <f t="shared" si="7"/>
        <v>0.99</v>
      </c>
      <c r="P197" s="14" t="s">
        <v>117</v>
      </c>
    </row>
    <row r="198" spans="1:16" x14ac:dyDescent="0.25">
      <c r="A198" s="1" t="s">
        <v>346</v>
      </c>
      <c r="B198" s="1" t="s">
        <v>58</v>
      </c>
      <c r="C198" t="s">
        <v>54</v>
      </c>
      <c r="E198" s="4">
        <v>53588</v>
      </c>
      <c r="F198" s="5">
        <v>-12.98</v>
      </c>
      <c r="H198"/>
      <c r="J198" s="6">
        <v>53588</v>
      </c>
      <c r="K198" s="12">
        <v>-17.062014506248321</v>
      </c>
      <c r="M198">
        <f t="shared" si="6"/>
        <v>0</v>
      </c>
      <c r="N198" s="13">
        <f t="shared" si="7"/>
        <v>1.31</v>
      </c>
      <c r="P198" s="14" t="s">
        <v>117</v>
      </c>
    </row>
    <row r="199" spans="1:16" x14ac:dyDescent="0.25">
      <c r="A199" s="1" t="s">
        <v>347</v>
      </c>
      <c r="B199" s="1" t="s">
        <v>58</v>
      </c>
      <c r="C199" t="s">
        <v>54</v>
      </c>
      <c r="E199" s="4">
        <v>46883</v>
      </c>
      <c r="F199" s="5">
        <v>-20.6</v>
      </c>
      <c r="H199"/>
      <c r="J199" s="6">
        <v>46883</v>
      </c>
      <c r="K199" s="12">
        <v>-20.599253246137099</v>
      </c>
      <c r="M199">
        <f t="shared" si="6"/>
        <v>0</v>
      </c>
      <c r="N199" s="13">
        <f t="shared" si="7"/>
        <v>1</v>
      </c>
      <c r="P199" s="14" t="s">
        <v>117</v>
      </c>
    </row>
    <row r="200" spans="1:16" x14ac:dyDescent="0.25">
      <c r="A200" s="1" t="s">
        <v>348</v>
      </c>
      <c r="B200" s="1" t="s">
        <v>58</v>
      </c>
      <c r="C200" t="s">
        <v>54</v>
      </c>
      <c r="E200" s="4">
        <v>48131</v>
      </c>
      <c r="F200" s="5">
        <v>-22.26</v>
      </c>
      <c r="G200" s="10" t="s">
        <v>349</v>
      </c>
      <c r="H200"/>
      <c r="J200" s="6">
        <v>47889</v>
      </c>
      <c r="K200" s="12">
        <v>-3.654915457415072</v>
      </c>
      <c r="M200">
        <f t="shared" si="6"/>
        <v>242</v>
      </c>
      <c r="N200" s="13">
        <f t="shared" si="7"/>
        <v>0.16</v>
      </c>
      <c r="P200" s="14"/>
    </row>
    <row r="201" spans="1:16" x14ac:dyDescent="0.25">
      <c r="A201" s="1" t="s">
        <v>350</v>
      </c>
      <c r="B201" s="1" t="s">
        <v>58</v>
      </c>
      <c r="C201" t="s">
        <v>54</v>
      </c>
      <c r="E201" s="4">
        <v>46480</v>
      </c>
      <c r="F201" s="5">
        <v>-45.06</v>
      </c>
      <c r="H201" s="10" t="s">
        <v>821</v>
      </c>
      <c r="J201" s="6">
        <v>47060</v>
      </c>
      <c r="K201" s="12">
        <v>-214.31581961982789</v>
      </c>
      <c r="M201">
        <f t="shared" si="6"/>
        <v>-580</v>
      </c>
      <c r="N201" s="13">
        <f t="shared" si="7"/>
        <v>4.76</v>
      </c>
      <c r="P201" s="14" t="s">
        <v>819</v>
      </c>
    </row>
    <row r="202" spans="1:16" x14ac:dyDescent="0.25">
      <c r="A202" s="1" t="s">
        <v>351</v>
      </c>
      <c r="B202" s="1" t="s">
        <v>58</v>
      </c>
      <c r="C202" t="s">
        <v>54</v>
      </c>
      <c r="E202" s="4">
        <v>47314</v>
      </c>
      <c r="F202" s="5">
        <v>-13.12</v>
      </c>
      <c r="H202"/>
      <c r="J202" s="6">
        <v>47314</v>
      </c>
      <c r="K202" s="12">
        <v>-13.214539510892219</v>
      </c>
      <c r="M202">
        <f t="shared" si="6"/>
        <v>0</v>
      </c>
      <c r="N202" s="13">
        <f t="shared" si="7"/>
        <v>1.01</v>
      </c>
      <c r="P202" s="14" t="s">
        <v>117</v>
      </c>
    </row>
    <row r="203" spans="1:16" x14ac:dyDescent="0.25">
      <c r="A203" s="1" t="s">
        <v>352</v>
      </c>
      <c r="B203" s="1" t="s">
        <v>64</v>
      </c>
      <c r="C203" s="3">
        <v>31594</v>
      </c>
      <c r="E203" s="4">
        <v>59909</v>
      </c>
      <c r="F203" s="5">
        <v>-83.17</v>
      </c>
      <c r="H203"/>
      <c r="J203" s="6">
        <v>59909</v>
      </c>
      <c r="K203" s="12">
        <v>-84.054692920675762</v>
      </c>
      <c r="M203">
        <f t="shared" si="6"/>
        <v>0</v>
      </c>
      <c r="N203" s="13">
        <f t="shared" si="7"/>
        <v>1.01</v>
      </c>
      <c r="P203" s="14" t="s">
        <v>117</v>
      </c>
    </row>
    <row r="204" spans="1:16" x14ac:dyDescent="0.25">
      <c r="A204" s="1" t="s">
        <v>353</v>
      </c>
      <c r="B204" s="1" t="s">
        <v>58</v>
      </c>
      <c r="C204" t="s">
        <v>54</v>
      </c>
      <c r="E204" s="4">
        <v>54841</v>
      </c>
      <c r="F204" s="5">
        <v>-346.29</v>
      </c>
      <c r="G204" s="10" t="s">
        <v>188</v>
      </c>
      <c r="H204"/>
      <c r="J204" s="6">
        <v>54841</v>
      </c>
      <c r="K204" s="12">
        <v>-350.18692977306807</v>
      </c>
      <c r="M204">
        <f t="shared" si="6"/>
        <v>0</v>
      </c>
      <c r="N204" s="13">
        <f t="shared" si="7"/>
        <v>1.01</v>
      </c>
      <c r="P204" s="14" t="s">
        <v>117</v>
      </c>
    </row>
    <row r="205" spans="1:16" x14ac:dyDescent="0.25">
      <c r="A205" s="1" t="s">
        <v>354</v>
      </c>
      <c r="B205" s="1" t="s">
        <v>58</v>
      </c>
      <c r="C205" t="s">
        <v>54</v>
      </c>
      <c r="E205" s="4">
        <v>54914</v>
      </c>
      <c r="F205" s="5">
        <v>-316.85000000000002</v>
      </c>
      <c r="H205"/>
      <c r="J205" s="6">
        <v>54914</v>
      </c>
      <c r="K205" s="12">
        <v>-316.83269358794308</v>
      </c>
      <c r="M205">
        <f t="shared" si="6"/>
        <v>0</v>
      </c>
      <c r="N205" s="13">
        <f t="shared" si="7"/>
        <v>1</v>
      </c>
      <c r="P205" s="14" t="s">
        <v>117</v>
      </c>
    </row>
    <row r="206" spans="1:16" x14ac:dyDescent="0.25">
      <c r="A206" s="1" t="s">
        <v>355</v>
      </c>
      <c r="B206" s="1" t="s">
        <v>331</v>
      </c>
      <c r="C206" t="s">
        <v>317</v>
      </c>
      <c r="E206" s="4">
        <v>48645</v>
      </c>
      <c r="F206" s="5">
        <v>-303.04000000000002</v>
      </c>
      <c r="H206"/>
      <c r="J206" s="6">
        <v>48645</v>
      </c>
      <c r="K206" s="12">
        <v>-303.6321356879215</v>
      </c>
      <c r="M206">
        <f t="shared" si="6"/>
        <v>0</v>
      </c>
      <c r="N206" s="13">
        <f t="shared" si="7"/>
        <v>1</v>
      </c>
      <c r="P206" s="14" t="s">
        <v>117</v>
      </c>
    </row>
    <row r="207" spans="1:16" x14ac:dyDescent="0.25">
      <c r="A207" s="1" t="s">
        <v>356</v>
      </c>
      <c r="B207" s="1" t="s">
        <v>58</v>
      </c>
      <c r="C207" t="s">
        <v>54</v>
      </c>
      <c r="E207" s="4">
        <v>49623</v>
      </c>
      <c r="F207" s="5">
        <v>-203.96</v>
      </c>
      <c r="G207" s="10" t="s">
        <v>55</v>
      </c>
      <c r="H207"/>
      <c r="J207" s="6">
        <v>49623</v>
      </c>
      <c r="K207" s="12">
        <v>-204.47473870442059</v>
      </c>
      <c r="M207">
        <f t="shared" si="6"/>
        <v>0</v>
      </c>
      <c r="N207" s="13">
        <f t="shared" si="7"/>
        <v>1</v>
      </c>
      <c r="P207" s="14" t="s">
        <v>117</v>
      </c>
    </row>
    <row r="208" spans="1:16" x14ac:dyDescent="0.25">
      <c r="A208" s="1" t="s">
        <v>357</v>
      </c>
      <c r="B208" s="1" t="s">
        <v>64</v>
      </c>
      <c r="C208" s="3">
        <v>31594</v>
      </c>
      <c r="E208" s="4">
        <v>65747</v>
      </c>
      <c r="F208" s="5">
        <v>405867.38</v>
      </c>
      <c r="G208" s="10" t="s">
        <v>258</v>
      </c>
      <c r="H208"/>
      <c r="J208" s="6">
        <v>46509</v>
      </c>
      <c r="K208" s="12">
        <v>7898.4419543098138</v>
      </c>
      <c r="M208">
        <f t="shared" si="6"/>
        <v>19238</v>
      </c>
      <c r="N208" s="13">
        <f t="shared" si="7"/>
        <v>0.02</v>
      </c>
      <c r="P208" s="14"/>
    </row>
    <row r="209" spans="1:17" x14ac:dyDescent="0.25">
      <c r="A209" s="1" t="s">
        <v>358</v>
      </c>
      <c r="B209" s="1" t="s">
        <v>58</v>
      </c>
      <c r="C209" t="s">
        <v>54</v>
      </c>
      <c r="E209" s="4">
        <v>48497</v>
      </c>
      <c r="F209" s="5">
        <v>-79.61</v>
      </c>
      <c r="G209" s="10" t="s">
        <v>55</v>
      </c>
      <c r="H209"/>
      <c r="J209" s="6">
        <v>48558</v>
      </c>
      <c r="K209" s="12">
        <v>-89.457112280505882</v>
      </c>
      <c r="M209">
        <f t="shared" si="6"/>
        <v>-61</v>
      </c>
      <c r="N209" s="13">
        <f t="shared" si="7"/>
        <v>1.1200000000000001</v>
      </c>
      <c r="P209" s="14" t="s">
        <v>161</v>
      </c>
      <c r="Q209" t="s">
        <v>359</v>
      </c>
    </row>
    <row r="210" spans="1:17" x14ac:dyDescent="0.25">
      <c r="A210" s="1" t="s">
        <v>360</v>
      </c>
      <c r="B210" s="1" t="s">
        <v>58</v>
      </c>
      <c r="C210" t="s">
        <v>54</v>
      </c>
      <c r="E210" s="4">
        <v>48075</v>
      </c>
      <c r="F210" s="5">
        <v>-279</v>
      </c>
      <c r="H210"/>
      <c r="J210" s="6">
        <v>48075</v>
      </c>
      <c r="K210" s="12">
        <v>-279.761568706459</v>
      </c>
      <c r="M210">
        <f t="shared" si="6"/>
        <v>0</v>
      </c>
      <c r="N210" s="13">
        <f t="shared" si="7"/>
        <v>1</v>
      </c>
      <c r="P210" s="14" t="s">
        <v>117</v>
      </c>
    </row>
    <row r="211" spans="1:17" x14ac:dyDescent="0.25">
      <c r="A211" s="1" t="s">
        <v>361</v>
      </c>
      <c r="B211" s="1" t="s">
        <v>58</v>
      </c>
      <c r="C211" t="s">
        <v>54</v>
      </c>
      <c r="E211" s="4">
        <v>53905</v>
      </c>
      <c r="F211" s="5">
        <v>-15.39</v>
      </c>
      <c r="G211" s="10" t="s">
        <v>223</v>
      </c>
      <c r="H211"/>
      <c r="J211" s="6">
        <v>53874</v>
      </c>
      <c r="K211" s="12">
        <v>-168.56292685571341</v>
      </c>
      <c r="M211">
        <f t="shared" si="6"/>
        <v>31</v>
      </c>
      <c r="N211" s="13">
        <f t="shared" si="7"/>
        <v>10.95</v>
      </c>
      <c r="P211" s="14"/>
    </row>
    <row r="212" spans="1:17" x14ac:dyDescent="0.25">
      <c r="A212" s="1" t="s">
        <v>362</v>
      </c>
      <c r="B212" s="1" t="s">
        <v>64</v>
      </c>
      <c r="C212" s="3">
        <v>31594</v>
      </c>
      <c r="E212" s="4">
        <v>64285</v>
      </c>
      <c r="F212" s="5">
        <v>40444.11</v>
      </c>
      <c r="G212" s="10" t="s">
        <v>188</v>
      </c>
      <c r="H212"/>
      <c r="J212" s="6">
        <v>50222</v>
      </c>
      <c r="K212" s="12">
        <v>13182.570656919181</v>
      </c>
      <c r="M212">
        <f t="shared" si="6"/>
        <v>14063</v>
      </c>
      <c r="N212" s="13">
        <f t="shared" si="7"/>
        <v>0.33</v>
      </c>
      <c r="P212" s="14" t="s">
        <v>117</v>
      </c>
    </row>
    <row r="213" spans="1:17" x14ac:dyDescent="0.25">
      <c r="A213" s="1" t="s">
        <v>363</v>
      </c>
      <c r="B213" s="1" t="s">
        <v>64</v>
      </c>
      <c r="C213" s="3">
        <v>31594</v>
      </c>
      <c r="E213" s="4">
        <v>52144</v>
      </c>
      <c r="F213" s="5">
        <v>-13.12</v>
      </c>
      <c r="G213" s="10" t="s">
        <v>234</v>
      </c>
      <c r="H213"/>
      <c r="J213" s="6">
        <v>52144</v>
      </c>
      <c r="K213" s="12">
        <v>-13.133640820631349</v>
      </c>
      <c r="M213">
        <f t="shared" si="6"/>
        <v>0</v>
      </c>
      <c r="N213" s="13">
        <f t="shared" si="7"/>
        <v>1</v>
      </c>
      <c r="P213" s="14" t="s">
        <v>117</v>
      </c>
    </row>
    <row r="214" spans="1:17" x14ac:dyDescent="0.25">
      <c r="A214" s="1" t="s">
        <v>59</v>
      </c>
      <c r="B214" s="1" t="s">
        <v>58</v>
      </c>
      <c r="C214" t="s">
        <v>54</v>
      </c>
      <c r="E214" s="4">
        <v>57722</v>
      </c>
      <c r="F214" s="5">
        <v>108277.27</v>
      </c>
      <c r="H214" s="10" t="s">
        <v>815</v>
      </c>
      <c r="J214" s="6">
        <v>57722</v>
      </c>
      <c r="K214" s="12">
        <v>118946.1224933289</v>
      </c>
      <c r="M214">
        <f t="shared" si="6"/>
        <v>0</v>
      </c>
      <c r="N214" s="13">
        <f t="shared" si="7"/>
        <v>1.1000000000000001</v>
      </c>
      <c r="P214" s="14" t="s">
        <v>819</v>
      </c>
    </row>
    <row r="215" spans="1:17" x14ac:dyDescent="0.25">
      <c r="A215" s="1" t="s">
        <v>364</v>
      </c>
      <c r="B215" s="1" t="s">
        <v>331</v>
      </c>
      <c r="C215" t="s">
        <v>317</v>
      </c>
      <c r="E215" s="4">
        <v>47567</v>
      </c>
      <c r="F215" s="5">
        <v>-191.94</v>
      </c>
      <c r="G215" s="10" t="s">
        <v>365</v>
      </c>
      <c r="H215"/>
      <c r="J215" s="6">
        <v>47567</v>
      </c>
      <c r="K215" s="12">
        <v>-192.48955601763129</v>
      </c>
      <c r="M215">
        <f t="shared" si="6"/>
        <v>0</v>
      </c>
      <c r="N215" s="13">
        <f t="shared" si="7"/>
        <v>1</v>
      </c>
      <c r="P215" s="14" t="s">
        <v>117</v>
      </c>
    </row>
    <row r="216" spans="1:17" x14ac:dyDescent="0.25">
      <c r="A216" s="1" t="s">
        <v>366</v>
      </c>
      <c r="B216" s="1" t="s">
        <v>331</v>
      </c>
      <c r="C216" t="s">
        <v>317</v>
      </c>
      <c r="E216" s="4">
        <v>49356</v>
      </c>
      <c r="F216" s="5">
        <v>-270.89999999999998</v>
      </c>
      <c r="H216"/>
      <c r="J216" s="6">
        <v>49356</v>
      </c>
      <c r="K216" s="12">
        <v>-271.74339100673251</v>
      </c>
      <c r="M216">
        <f t="shared" si="6"/>
        <v>0</v>
      </c>
      <c r="N216" s="13">
        <f t="shared" si="7"/>
        <v>1</v>
      </c>
      <c r="P216" s="14" t="s">
        <v>117</v>
      </c>
    </row>
    <row r="217" spans="1:17" x14ac:dyDescent="0.25">
      <c r="A217" s="1" t="s">
        <v>367</v>
      </c>
      <c r="B217" s="1" t="s">
        <v>58</v>
      </c>
      <c r="C217" t="s">
        <v>54</v>
      </c>
      <c r="E217" s="4">
        <v>47007</v>
      </c>
      <c r="F217" s="5">
        <v>-27.01</v>
      </c>
      <c r="H217"/>
      <c r="J217" s="6">
        <v>47007</v>
      </c>
      <c r="K217" s="12">
        <v>-27.01951217343338</v>
      </c>
      <c r="M217">
        <f t="shared" si="6"/>
        <v>0</v>
      </c>
      <c r="N217" s="13">
        <f t="shared" si="7"/>
        <v>1</v>
      </c>
      <c r="P217" s="14" t="s">
        <v>117</v>
      </c>
    </row>
    <row r="218" spans="1:17" x14ac:dyDescent="0.25">
      <c r="A218" s="1" t="s">
        <v>368</v>
      </c>
      <c r="B218" s="1" t="s">
        <v>64</v>
      </c>
      <c r="C218" s="3">
        <v>31594</v>
      </c>
      <c r="E218" s="4">
        <v>54128</v>
      </c>
      <c r="F218" s="5">
        <v>-21.13</v>
      </c>
      <c r="G218" s="10" t="s">
        <v>223</v>
      </c>
      <c r="H218"/>
      <c r="J218" s="6">
        <v>53823</v>
      </c>
      <c r="K218" s="12">
        <v>-19.02745673855183</v>
      </c>
      <c r="M218">
        <f t="shared" si="6"/>
        <v>305</v>
      </c>
      <c r="N218" s="13">
        <f t="shared" si="7"/>
        <v>0.9</v>
      </c>
      <c r="P218" s="14"/>
    </row>
    <row r="219" spans="1:17" x14ac:dyDescent="0.25">
      <c r="A219" s="1" t="s">
        <v>369</v>
      </c>
      <c r="B219" s="1" t="s">
        <v>58</v>
      </c>
      <c r="C219" t="s">
        <v>54</v>
      </c>
      <c r="E219" s="4">
        <v>47949</v>
      </c>
      <c r="F219" s="5">
        <v>-7.61</v>
      </c>
      <c r="G219" s="10" t="s">
        <v>198</v>
      </c>
      <c r="H219"/>
      <c r="J219" s="6">
        <v>47767</v>
      </c>
      <c r="K219" s="12">
        <v>-14.62779736730678</v>
      </c>
      <c r="M219">
        <f t="shared" si="6"/>
        <v>182</v>
      </c>
      <c r="N219" s="13">
        <f t="shared" si="7"/>
        <v>1.92</v>
      </c>
      <c r="P219" s="14"/>
    </row>
    <row r="220" spans="1:17" x14ac:dyDescent="0.25">
      <c r="A220" s="1" t="s">
        <v>370</v>
      </c>
      <c r="B220" s="1" t="s">
        <v>331</v>
      </c>
      <c r="C220" t="s">
        <v>317</v>
      </c>
      <c r="E220" s="4">
        <v>47383</v>
      </c>
      <c r="F220" s="5">
        <v>-39.28</v>
      </c>
      <c r="H220"/>
      <c r="J220" s="6">
        <v>47383</v>
      </c>
      <c r="K220" s="12">
        <v>-39.394619532531543</v>
      </c>
      <c r="M220">
        <f t="shared" si="6"/>
        <v>0</v>
      </c>
      <c r="N220" s="13">
        <f t="shared" si="7"/>
        <v>1</v>
      </c>
      <c r="P220" s="14" t="s">
        <v>117</v>
      </c>
    </row>
    <row r="221" spans="1:17" x14ac:dyDescent="0.25">
      <c r="A221" s="1" t="s">
        <v>371</v>
      </c>
      <c r="B221" s="1" t="s">
        <v>58</v>
      </c>
      <c r="C221" t="s">
        <v>54</v>
      </c>
      <c r="E221" s="4">
        <v>47744</v>
      </c>
      <c r="F221" s="5">
        <v>-18.47</v>
      </c>
      <c r="G221" s="10" t="s">
        <v>328</v>
      </c>
      <c r="H221"/>
      <c r="J221" s="6">
        <v>47744</v>
      </c>
      <c r="K221" s="12">
        <v>-18.585538075213549</v>
      </c>
      <c r="M221">
        <f t="shared" si="6"/>
        <v>0</v>
      </c>
      <c r="N221" s="13">
        <f t="shared" si="7"/>
        <v>1.01</v>
      </c>
      <c r="P221" s="14" t="s">
        <v>117</v>
      </c>
    </row>
    <row r="222" spans="1:17" x14ac:dyDescent="0.25">
      <c r="A222" s="1" t="s">
        <v>372</v>
      </c>
      <c r="B222" s="1" t="s">
        <v>58</v>
      </c>
      <c r="C222" t="s">
        <v>54</v>
      </c>
      <c r="E222" s="4">
        <v>54558</v>
      </c>
      <c r="F222" s="5">
        <v>-122.9</v>
      </c>
      <c r="G222" s="10" t="s">
        <v>188</v>
      </c>
      <c r="H222"/>
      <c r="J222" s="6">
        <v>54558</v>
      </c>
      <c r="K222" s="12">
        <v>-124.7305742014322</v>
      </c>
      <c r="M222">
        <f t="shared" si="6"/>
        <v>0</v>
      </c>
      <c r="N222" s="13">
        <f t="shared" si="7"/>
        <v>1.01</v>
      </c>
      <c r="P222" s="14" t="s">
        <v>117</v>
      </c>
    </row>
    <row r="223" spans="1:17" x14ac:dyDescent="0.25">
      <c r="A223" s="1" t="s">
        <v>373</v>
      </c>
      <c r="B223" s="1" t="s">
        <v>64</v>
      </c>
      <c r="C223" s="3">
        <v>31594</v>
      </c>
      <c r="E223" s="4">
        <v>57329</v>
      </c>
      <c r="F223" s="5">
        <v>-100.42</v>
      </c>
      <c r="G223" s="10" t="s">
        <v>188</v>
      </c>
      <c r="H223"/>
      <c r="J223" s="6">
        <v>57329</v>
      </c>
      <c r="K223" s="12">
        <v>-100.58544533229779</v>
      </c>
      <c r="M223">
        <f t="shared" si="6"/>
        <v>0</v>
      </c>
      <c r="N223" s="13">
        <f t="shared" si="7"/>
        <v>1</v>
      </c>
      <c r="P223" s="14" t="s">
        <v>117</v>
      </c>
    </row>
    <row r="224" spans="1:17" x14ac:dyDescent="0.25">
      <c r="A224" s="1" t="s">
        <v>374</v>
      </c>
      <c r="B224" s="1" t="s">
        <v>64</v>
      </c>
      <c r="C224" s="3">
        <v>31594</v>
      </c>
      <c r="E224" s="4">
        <v>62139</v>
      </c>
      <c r="F224" s="5">
        <v>-98.29</v>
      </c>
      <c r="G224" s="10" t="s">
        <v>234</v>
      </c>
      <c r="H224"/>
      <c r="J224" s="6">
        <v>62139</v>
      </c>
      <c r="K224" s="12">
        <v>-98.275076483516344</v>
      </c>
      <c r="M224">
        <f t="shared" si="6"/>
        <v>0</v>
      </c>
      <c r="N224" s="13">
        <f t="shared" si="7"/>
        <v>1</v>
      </c>
      <c r="P224" s="14" t="s">
        <v>117</v>
      </c>
    </row>
    <row r="225" spans="1:17" x14ac:dyDescent="0.25">
      <c r="A225" s="1" t="s">
        <v>375</v>
      </c>
      <c r="B225" s="1" t="s">
        <v>331</v>
      </c>
      <c r="C225" t="s">
        <v>317</v>
      </c>
      <c r="E225" s="4">
        <v>49924</v>
      </c>
      <c r="F225" s="5">
        <v>-417.84</v>
      </c>
      <c r="H225"/>
      <c r="J225" s="6">
        <v>49924</v>
      </c>
      <c r="K225" s="12">
        <v>-418.77999369047188</v>
      </c>
      <c r="M225">
        <f t="shared" si="6"/>
        <v>0</v>
      </c>
      <c r="N225" s="13">
        <f t="shared" si="7"/>
        <v>1</v>
      </c>
      <c r="P225" s="14" t="s">
        <v>117</v>
      </c>
    </row>
    <row r="226" spans="1:17" x14ac:dyDescent="0.25">
      <c r="A226" s="1" t="s">
        <v>376</v>
      </c>
      <c r="B226" s="1" t="s">
        <v>58</v>
      </c>
      <c r="C226" t="s">
        <v>54</v>
      </c>
      <c r="E226" s="4">
        <v>46954</v>
      </c>
      <c r="F226" s="5">
        <v>-51.01</v>
      </c>
      <c r="G226" s="10" t="s">
        <v>223</v>
      </c>
      <c r="H226"/>
      <c r="J226" s="6">
        <v>46954</v>
      </c>
      <c r="K226" s="12">
        <v>-42.85344875145735</v>
      </c>
      <c r="M226">
        <f t="shared" si="6"/>
        <v>0</v>
      </c>
      <c r="N226" s="13">
        <f t="shared" si="7"/>
        <v>0.84</v>
      </c>
      <c r="P226" s="14"/>
    </row>
    <row r="227" spans="1:17" x14ac:dyDescent="0.25">
      <c r="A227" s="1" t="s">
        <v>377</v>
      </c>
      <c r="B227" s="1" t="s">
        <v>58</v>
      </c>
      <c r="C227" t="s">
        <v>54</v>
      </c>
      <c r="E227" s="4">
        <v>53826</v>
      </c>
      <c r="F227" s="5">
        <v>-233.44</v>
      </c>
      <c r="G227" s="10" t="s">
        <v>234</v>
      </c>
      <c r="H227"/>
      <c r="J227" s="6">
        <v>53826</v>
      </c>
      <c r="K227" s="12">
        <v>-150.91710821132361</v>
      </c>
      <c r="M227">
        <f t="shared" si="6"/>
        <v>0</v>
      </c>
      <c r="N227" s="13">
        <f t="shared" si="7"/>
        <v>0.65</v>
      </c>
      <c r="P227" s="14"/>
    </row>
    <row r="228" spans="1:17" x14ac:dyDescent="0.25">
      <c r="A228" s="1" t="s">
        <v>378</v>
      </c>
      <c r="B228" s="1" t="s">
        <v>64</v>
      </c>
      <c r="C228" s="3">
        <v>31594</v>
      </c>
      <c r="E228" s="4">
        <v>65608</v>
      </c>
      <c r="F228" s="5">
        <v>-165</v>
      </c>
      <c r="H228"/>
      <c r="J228" s="6">
        <v>65608</v>
      </c>
      <c r="K228" s="12">
        <v>-167.27711186396539</v>
      </c>
      <c r="M228">
        <f t="shared" si="6"/>
        <v>0</v>
      </c>
      <c r="N228" s="13">
        <f t="shared" si="7"/>
        <v>1.01</v>
      </c>
      <c r="P228" s="14" t="s">
        <v>117</v>
      </c>
    </row>
    <row r="229" spans="1:17" x14ac:dyDescent="0.25">
      <c r="A229" s="1" t="s">
        <v>379</v>
      </c>
      <c r="B229" s="1" t="s">
        <v>58</v>
      </c>
      <c r="C229" t="s">
        <v>54</v>
      </c>
      <c r="E229" s="4">
        <v>57085</v>
      </c>
      <c r="F229" s="5">
        <v>-191.03</v>
      </c>
      <c r="G229" s="10" t="s">
        <v>198</v>
      </c>
      <c r="H229"/>
      <c r="J229" s="6">
        <v>57085</v>
      </c>
      <c r="K229" s="12">
        <v>-724.89872138515216</v>
      </c>
      <c r="M229">
        <f t="shared" si="6"/>
        <v>0</v>
      </c>
      <c r="N229" s="13">
        <f t="shared" si="7"/>
        <v>3.79</v>
      </c>
      <c r="P229" s="14"/>
    </row>
    <row r="230" spans="1:17" x14ac:dyDescent="0.25">
      <c r="A230" s="1" t="s">
        <v>380</v>
      </c>
      <c r="B230" s="1" t="s">
        <v>58</v>
      </c>
      <c r="C230" t="s">
        <v>54</v>
      </c>
      <c r="E230" s="4">
        <v>52060</v>
      </c>
      <c r="F230" s="5">
        <v>-488.41</v>
      </c>
      <c r="H230"/>
      <c r="J230" s="6">
        <v>49381</v>
      </c>
      <c r="K230" s="12">
        <v>12436.40224822146</v>
      </c>
      <c r="M230">
        <f t="shared" si="6"/>
        <v>2679</v>
      </c>
      <c r="N230" s="13">
        <f t="shared" si="7"/>
        <v>-25.46</v>
      </c>
      <c r="P230" s="14" t="s">
        <v>170</v>
      </c>
    </row>
    <row r="231" spans="1:17" x14ac:dyDescent="0.25">
      <c r="A231" s="1" t="s">
        <v>381</v>
      </c>
      <c r="B231" s="1" t="s">
        <v>64</v>
      </c>
      <c r="C231" s="3">
        <v>31594</v>
      </c>
      <c r="E231" s="4">
        <v>59571</v>
      </c>
      <c r="F231" s="5">
        <v>-53.28</v>
      </c>
      <c r="H231"/>
      <c r="J231" s="6">
        <v>59571</v>
      </c>
      <c r="K231" s="12">
        <v>-53.921209200179312</v>
      </c>
      <c r="M231">
        <f t="shared" si="6"/>
        <v>0</v>
      </c>
      <c r="N231" s="13">
        <f t="shared" si="7"/>
        <v>1.01</v>
      </c>
      <c r="P231" s="14" t="s">
        <v>117</v>
      </c>
    </row>
    <row r="232" spans="1:17" x14ac:dyDescent="0.25">
      <c r="A232" s="1" t="s">
        <v>382</v>
      </c>
      <c r="B232" s="1" t="s">
        <v>58</v>
      </c>
      <c r="C232" t="s">
        <v>54</v>
      </c>
      <c r="E232" s="4">
        <v>51382</v>
      </c>
      <c r="F232" s="5">
        <v>-257.88</v>
      </c>
      <c r="H232"/>
      <c r="J232" s="6">
        <v>51382</v>
      </c>
      <c r="K232" s="12">
        <v>-259.15431192789327</v>
      </c>
      <c r="M232">
        <f t="shared" si="6"/>
        <v>0</v>
      </c>
      <c r="N232" s="13">
        <f t="shared" si="7"/>
        <v>1</v>
      </c>
      <c r="P232" s="14" t="s">
        <v>117</v>
      </c>
    </row>
    <row r="233" spans="1:17" x14ac:dyDescent="0.25">
      <c r="A233" s="1" t="s">
        <v>383</v>
      </c>
      <c r="B233" s="1" t="s">
        <v>58</v>
      </c>
      <c r="C233" t="s">
        <v>54</v>
      </c>
      <c r="E233" s="4">
        <v>50165</v>
      </c>
      <c r="F233" s="5">
        <v>-554.41</v>
      </c>
      <c r="G233" s="10" t="s">
        <v>365</v>
      </c>
      <c r="H233"/>
      <c r="J233" s="6">
        <v>55248</v>
      </c>
      <c r="K233" s="12">
        <v>-1968.704217536972</v>
      </c>
      <c r="M233">
        <f t="shared" si="6"/>
        <v>-5083</v>
      </c>
      <c r="N233" s="13">
        <f t="shared" si="7"/>
        <v>3.55</v>
      </c>
      <c r="P233" s="14" t="s">
        <v>161</v>
      </c>
      <c r="Q233" t="s">
        <v>384</v>
      </c>
    </row>
    <row r="234" spans="1:17" x14ac:dyDescent="0.25">
      <c r="A234" s="1" t="s">
        <v>385</v>
      </c>
      <c r="B234" s="1" t="s">
        <v>64</v>
      </c>
      <c r="C234" s="3">
        <v>31594</v>
      </c>
      <c r="E234" s="4">
        <v>66642</v>
      </c>
      <c r="F234" s="5">
        <v>236603.83</v>
      </c>
      <c r="G234" s="10" t="s">
        <v>234</v>
      </c>
      <c r="H234"/>
      <c r="J234" s="6">
        <v>49689</v>
      </c>
      <c r="K234" s="12">
        <v>6900.3759392789862</v>
      </c>
      <c r="M234">
        <f t="shared" si="6"/>
        <v>16953</v>
      </c>
      <c r="N234" s="13">
        <f t="shared" si="7"/>
        <v>0.03</v>
      </c>
      <c r="P234" s="14" t="s">
        <v>161</v>
      </c>
    </row>
    <row r="235" spans="1:17" x14ac:dyDescent="0.25">
      <c r="A235" s="1" t="s">
        <v>386</v>
      </c>
      <c r="B235" s="1" t="s">
        <v>58</v>
      </c>
      <c r="C235" t="s">
        <v>54</v>
      </c>
      <c r="E235" s="4">
        <v>48283</v>
      </c>
      <c r="F235" s="5">
        <v>-21.75</v>
      </c>
      <c r="H235"/>
      <c r="J235" s="6">
        <v>48283</v>
      </c>
      <c r="K235" s="12">
        <v>-21.85558690245341</v>
      </c>
      <c r="M235">
        <f t="shared" si="6"/>
        <v>0</v>
      </c>
      <c r="N235" s="13">
        <f t="shared" si="7"/>
        <v>1</v>
      </c>
      <c r="P235" s="14" t="s">
        <v>117</v>
      </c>
    </row>
    <row r="236" spans="1:17" x14ac:dyDescent="0.25">
      <c r="A236" s="1" t="s">
        <v>387</v>
      </c>
      <c r="B236" s="1" t="s">
        <v>58</v>
      </c>
      <c r="C236" t="s">
        <v>54</v>
      </c>
      <c r="E236" s="4">
        <v>53761</v>
      </c>
      <c r="F236" s="5">
        <v>-172.46</v>
      </c>
      <c r="H236"/>
      <c r="J236" s="6">
        <v>53761</v>
      </c>
      <c r="K236" s="12">
        <v>-174.84925182335729</v>
      </c>
      <c r="M236">
        <f t="shared" si="6"/>
        <v>0</v>
      </c>
      <c r="N236" s="13">
        <f t="shared" si="7"/>
        <v>1.01</v>
      </c>
      <c r="P236" s="14" t="s">
        <v>117</v>
      </c>
    </row>
    <row r="237" spans="1:17" x14ac:dyDescent="0.25">
      <c r="A237" s="1" t="s">
        <v>388</v>
      </c>
      <c r="B237" s="1" t="s">
        <v>58</v>
      </c>
      <c r="C237" t="s">
        <v>54</v>
      </c>
      <c r="E237" s="4">
        <v>51411</v>
      </c>
      <c r="F237" s="5">
        <v>-215.3</v>
      </c>
      <c r="G237" s="10" t="s">
        <v>55</v>
      </c>
      <c r="H237"/>
      <c r="J237" s="6">
        <v>51411</v>
      </c>
      <c r="K237" s="12">
        <v>-216.74743419881631</v>
      </c>
      <c r="M237">
        <f t="shared" si="6"/>
        <v>0</v>
      </c>
      <c r="N237" s="13">
        <f t="shared" si="7"/>
        <v>1.01</v>
      </c>
      <c r="P237" s="14" t="s">
        <v>117</v>
      </c>
    </row>
    <row r="238" spans="1:17" x14ac:dyDescent="0.25">
      <c r="A238" s="1" t="s">
        <v>389</v>
      </c>
      <c r="B238" s="1" t="s">
        <v>58</v>
      </c>
      <c r="C238" t="s">
        <v>54</v>
      </c>
      <c r="E238" s="4">
        <v>51258</v>
      </c>
      <c r="F238" s="5">
        <v>-11.62</v>
      </c>
      <c r="G238" s="10" t="s">
        <v>55</v>
      </c>
      <c r="H238"/>
      <c r="J238" s="6">
        <v>51381</v>
      </c>
      <c r="K238" s="12">
        <v>-88.65621596321003</v>
      </c>
      <c r="M238">
        <f t="shared" si="6"/>
        <v>-123</v>
      </c>
      <c r="N238" s="13">
        <f t="shared" si="7"/>
        <v>7.63</v>
      </c>
      <c r="P238" s="14" t="s">
        <v>117</v>
      </c>
    </row>
    <row r="239" spans="1:17" x14ac:dyDescent="0.25">
      <c r="A239" s="1" t="s">
        <v>390</v>
      </c>
      <c r="B239" s="1" t="s">
        <v>58</v>
      </c>
      <c r="C239" t="s">
        <v>54</v>
      </c>
      <c r="E239" s="4">
        <v>50901</v>
      </c>
      <c r="F239" s="5">
        <v>-280.95</v>
      </c>
      <c r="H239"/>
      <c r="J239" s="6">
        <v>50901</v>
      </c>
      <c r="K239" s="12">
        <v>-282.92047291043122</v>
      </c>
      <c r="M239">
        <f t="shared" si="6"/>
        <v>0</v>
      </c>
      <c r="N239" s="13">
        <f t="shared" si="7"/>
        <v>1.01</v>
      </c>
      <c r="P239" s="14" t="s">
        <v>117</v>
      </c>
    </row>
    <row r="240" spans="1:17" x14ac:dyDescent="0.25">
      <c r="A240" s="1" t="s">
        <v>391</v>
      </c>
      <c r="B240" s="1" t="s">
        <v>58</v>
      </c>
      <c r="C240" t="s">
        <v>54</v>
      </c>
      <c r="E240" s="4">
        <v>46784</v>
      </c>
      <c r="F240" s="5">
        <v>-28.53</v>
      </c>
      <c r="H240"/>
      <c r="J240" s="6">
        <v>46784</v>
      </c>
      <c r="K240" s="12">
        <v>-28.64643412511364</v>
      </c>
      <c r="M240">
        <f t="shared" si="6"/>
        <v>0</v>
      </c>
      <c r="N240" s="13">
        <f t="shared" si="7"/>
        <v>1</v>
      </c>
      <c r="P240" s="14" t="s">
        <v>117</v>
      </c>
    </row>
    <row r="241" spans="1:17" x14ac:dyDescent="0.25">
      <c r="A241" s="1" t="s">
        <v>392</v>
      </c>
      <c r="B241" s="1" t="s">
        <v>331</v>
      </c>
      <c r="C241" t="s">
        <v>317</v>
      </c>
      <c r="E241" s="4">
        <v>48272</v>
      </c>
      <c r="F241" s="5">
        <v>-19.62</v>
      </c>
      <c r="G241" s="10" t="s">
        <v>198</v>
      </c>
      <c r="H241"/>
      <c r="J241" s="6">
        <v>50737</v>
      </c>
      <c r="K241" s="12">
        <v>-161.9551907467</v>
      </c>
      <c r="M241">
        <f t="shared" si="6"/>
        <v>-2465</v>
      </c>
      <c r="N241" s="13">
        <f t="shared" si="7"/>
        <v>8.25</v>
      </c>
      <c r="P241" s="14" t="s">
        <v>161</v>
      </c>
      <c r="Q241" t="s">
        <v>393</v>
      </c>
    </row>
    <row r="242" spans="1:17" x14ac:dyDescent="0.25">
      <c r="A242" s="1" t="s">
        <v>394</v>
      </c>
      <c r="B242" s="1" t="s">
        <v>64</v>
      </c>
      <c r="C242" s="3">
        <v>31594</v>
      </c>
      <c r="E242" s="4">
        <v>47491</v>
      </c>
      <c r="F242" s="5">
        <v>-3.15</v>
      </c>
      <c r="H242"/>
      <c r="J242" s="6">
        <v>47491</v>
      </c>
      <c r="K242" s="12">
        <v>-3.168249778301671</v>
      </c>
      <c r="M242">
        <f t="shared" si="6"/>
        <v>0</v>
      </c>
      <c r="N242" s="13">
        <f t="shared" si="7"/>
        <v>1.01</v>
      </c>
      <c r="P242" s="14" t="s">
        <v>117</v>
      </c>
    </row>
    <row r="243" spans="1:17" x14ac:dyDescent="0.25">
      <c r="A243" s="1" t="s">
        <v>395</v>
      </c>
      <c r="B243" s="1" t="s">
        <v>64</v>
      </c>
      <c r="C243" s="3">
        <v>31594</v>
      </c>
      <c r="E243" s="4">
        <v>57965</v>
      </c>
      <c r="F243" s="5">
        <v>-154.16</v>
      </c>
      <c r="H243"/>
      <c r="J243" s="6">
        <v>57965</v>
      </c>
      <c r="K243" s="12">
        <v>-155.0593879300265</v>
      </c>
      <c r="M243">
        <f t="shared" si="6"/>
        <v>0</v>
      </c>
      <c r="N243" s="13">
        <f t="shared" si="7"/>
        <v>1.01</v>
      </c>
      <c r="P243" s="14" t="s">
        <v>117</v>
      </c>
    </row>
    <row r="244" spans="1:17" x14ac:dyDescent="0.25">
      <c r="A244" s="1" t="s">
        <v>396</v>
      </c>
      <c r="B244" s="1" t="s">
        <v>64</v>
      </c>
      <c r="C244" s="3">
        <v>31594</v>
      </c>
      <c r="E244" s="4">
        <v>57135</v>
      </c>
      <c r="F244" s="5">
        <v>-34.79</v>
      </c>
      <c r="H244"/>
      <c r="J244" s="6">
        <v>57135</v>
      </c>
      <c r="K244" s="12">
        <v>-35.437239010925182</v>
      </c>
      <c r="M244">
        <f t="shared" si="6"/>
        <v>0</v>
      </c>
      <c r="N244" s="13">
        <f t="shared" si="7"/>
        <v>1.02</v>
      </c>
      <c r="P244" s="14" t="s">
        <v>117</v>
      </c>
    </row>
    <row r="245" spans="1:17" x14ac:dyDescent="0.25">
      <c r="A245" s="1" t="s">
        <v>397</v>
      </c>
      <c r="B245" s="1" t="s">
        <v>331</v>
      </c>
      <c r="C245" t="s">
        <v>317</v>
      </c>
      <c r="E245" s="4">
        <v>46228</v>
      </c>
      <c r="F245" s="5">
        <v>-15.06</v>
      </c>
      <c r="G245" s="10" t="s">
        <v>55</v>
      </c>
      <c r="H245"/>
      <c r="J245" s="6">
        <v>46228</v>
      </c>
      <c r="K245" s="12">
        <v>-15.060358781792811</v>
      </c>
      <c r="M245">
        <f t="shared" si="6"/>
        <v>0</v>
      </c>
      <c r="N245" s="13">
        <f t="shared" si="7"/>
        <v>1</v>
      </c>
      <c r="P245" s="14" t="s">
        <v>117</v>
      </c>
    </row>
    <row r="246" spans="1:17" x14ac:dyDescent="0.25">
      <c r="A246" s="1" t="s">
        <v>398</v>
      </c>
      <c r="B246" s="1" t="s">
        <v>331</v>
      </c>
      <c r="C246" t="s">
        <v>317</v>
      </c>
      <c r="E246" s="4">
        <v>46242</v>
      </c>
      <c r="F246" s="5">
        <v>-115.62</v>
      </c>
      <c r="H246"/>
      <c r="J246" s="6">
        <v>46242</v>
      </c>
      <c r="K246" s="12">
        <v>-115.6135288740453</v>
      </c>
      <c r="M246">
        <f t="shared" si="6"/>
        <v>0</v>
      </c>
      <c r="N246" s="13">
        <f t="shared" si="7"/>
        <v>1</v>
      </c>
      <c r="P246" s="14" t="s">
        <v>117</v>
      </c>
    </row>
    <row r="247" spans="1:17" x14ac:dyDescent="0.25">
      <c r="A247" s="1" t="s">
        <v>399</v>
      </c>
      <c r="B247" s="1" t="s">
        <v>58</v>
      </c>
      <c r="C247" t="s">
        <v>54</v>
      </c>
      <c r="E247" s="4">
        <v>47224</v>
      </c>
      <c r="F247" s="5">
        <v>-36.85</v>
      </c>
      <c r="H247"/>
      <c r="J247" s="6">
        <v>47224</v>
      </c>
      <c r="K247" s="12">
        <v>-37.094031448750627</v>
      </c>
      <c r="M247">
        <f t="shared" si="6"/>
        <v>0</v>
      </c>
      <c r="N247" s="13">
        <f t="shared" si="7"/>
        <v>1.01</v>
      </c>
      <c r="P247" s="14" t="s">
        <v>117</v>
      </c>
    </row>
    <row r="248" spans="1:17" x14ac:dyDescent="0.25">
      <c r="A248" s="1" t="s">
        <v>400</v>
      </c>
      <c r="B248" s="1" t="s">
        <v>64</v>
      </c>
      <c r="C248" s="3">
        <v>31594</v>
      </c>
      <c r="E248" s="4">
        <v>55634</v>
      </c>
      <c r="F248" s="5">
        <v>-14.86</v>
      </c>
      <c r="H248"/>
      <c r="J248" s="6">
        <v>55634</v>
      </c>
      <c r="K248" s="12">
        <v>-19.145895225325258</v>
      </c>
      <c r="M248">
        <f t="shared" si="6"/>
        <v>0</v>
      </c>
      <c r="N248" s="13">
        <f t="shared" si="7"/>
        <v>1.29</v>
      </c>
      <c r="P248" s="14" t="s">
        <v>117</v>
      </c>
    </row>
    <row r="249" spans="1:17" x14ac:dyDescent="0.25">
      <c r="A249" s="1" t="s">
        <v>401</v>
      </c>
      <c r="B249" s="1" t="s">
        <v>58</v>
      </c>
      <c r="C249" t="s">
        <v>54</v>
      </c>
      <c r="E249" s="4">
        <v>49435</v>
      </c>
      <c r="F249" s="5">
        <v>-2.2999999999999998</v>
      </c>
      <c r="H249"/>
      <c r="J249" s="6">
        <v>49435</v>
      </c>
      <c r="K249" s="12">
        <v>-2.6771164971434871</v>
      </c>
      <c r="M249">
        <f t="shared" si="6"/>
        <v>0</v>
      </c>
      <c r="N249" s="13">
        <f t="shared" si="7"/>
        <v>1.1599999999999999</v>
      </c>
      <c r="P249" s="14" t="s">
        <v>117</v>
      </c>
    </row>
    <row r="250" spans="1:17" x14ac:dyDescent="0.25">
      <c r="A250" s="1" t="s">
        <v>402</v>
      </c>
      <c r="B250" s="1" t="s">
        <v>58</v>
      </c>
      <c r="C250" t="s">
        <v>54</v>
      </c>
      <c r="E250" s="4">
        <v>46755</v>
      </c>
      <c r="F250" s="5">
        <v>-105.97</v>
      </c>
      <c r="G250" s="10" t="s">
        <v>403</v>
      </c>
      <c r="H250"/>
      <c r="J250" s="6" t="e">
        <v>#NUM!</v>
      </c>
      <c r="K250" s="12" t="e">
        <v>#NUM!</v>
      </c>
      <c r="M250" t="e">
        <f t="shared" si="6"/>
        <v>#NUM!</v>
      </c>
      <c r="N250" s="13" t="e">
        <f t="shared" si="7"/>
        <v>#NUM!</v>
      </c>
      <c r="P250" s="14"/>
    </row>
    <row r="251" spans="1:17" x14ac:dyDescent="0.25">
      <c r="A251" s="1" t="s">
        <v>404</v>
      </c>
      <c r="B251" s="1" t="s">
        <v>331</v>
      </c>
      <c r="C251" t="s">
        <v>317</v>
      </c>
      <c r="E251" s="4">
        <v>47392</v>
      </c>
      <c r="F251" s="5">
        <v>-213.14</v>
      </c>
      <c r="H251"/>
      <c r="J251" s="6">
        <v>47392</v>
      </c>
      <c r="K251" s="12">
        <v>-213.27176194092891</v>
      </c>
      <c r="M251">
        <f t="shared" si="6"/>
        <v>0</v>
      </c>
      <c r="N251" s="13">
        <f t="shared" si="7"/>
        <v>1</v>
      </c>
      <c r="P251" s="14" t="s">
        <v>117</v>
      </c>
    </row>
    <row r="252" spans="1:17" x14ac:dyDescent="0.25">
      <c r="A252" s="1" t="s">
        <v>405</v>
      </c>
      <c r="B252" s="1" t="s">
        <v>64</v>
      </c>
      <c r="C252" s="3">
        <v>31594</v>
      </c>
      <c r="E252" s="4">
        <v>58863</v>
      </c>
      <c r="F252" s="5">
        <v>-171.16</v>
      </c>
      <c r="G252" s="10" t="s">
        <v>188</v>
      </c>
      <c r="H252"/>
      <c r="J252" s="6">
        <v>58863</v>
      </c>
      <c r="K252" s="12">
        <v>-174.05339230165069</v>
      </c>
      <c r="M252">
        <f t="shared" si="6"/>
        <v>0</v>
      </c>
      <c r="N252" s="13">
        <f t="shared" si="7"/>
        <v>1.02</v>
      </c>
      <c r="P252" s="14" t="s">
        <v>117</v>
      </c>
    </row>
    <row r="253" spans="1:17" x14ac:dyDescent="0.25">
      <c r="A253" s="1" t="s">
        <v>406</v>
      </c>
      <c r="B253" s="1" t="s">
        <v>64</v>
      </c>
      <c r="C253" s="3">
        <v>31594</v>
      </c>
      <c r="E253" s="4">
        <v>50318</v>
      </c>
      <c r="F253" s="5">
        <v>-3.83</v>
      </c>
      <c r="G253" s="10" t="s">
        <v>188</v>
      </c>
      <c r="H253"/>
      <c r="J253" s="6">
        <v>50318</v>
      </c>
      <c r="K253" s="12">
        <v>-3.9063888174382342</v>
      </c>
      <c r="M253">
        <f t="shared" si="6"/>
        <v>0</v>
      </c>
      <c r="N253" s="13">
        <f t="shared" si="7"/>
        <v>1.02</v>
      </c>
      <c r="P253" s="14" t="s">
        <v>117</v>
      </c>
    </row>
    <row r="254" spans="1:17" x14ac:dyDescent="0.25">
      <c r="A254" s="1" t="s">
        <v>407</v>
      </c>
      <c r="B254" s="1" t="s">
        <v>58</v>
      </c>
      <c r="C254" t="s">
        <v>54</v>
      </c>
      <c r="E254" s="4">
        <v>49553</v>
      </c>
      <c r="F254" s="5">
        <v>-92.14</v>
      </c>
      <c r="H254"/>
      <c r="J254" s="6">
        <v>49553</v>
      </c>
      <c r="K254" s="12">
        <v>-92.537300390435348</v>
      </c>
      <c r="M254">
        <f t="shared" si="6"/>
        <v>0</v>
      </c>
      <c r="N254" s="13">
        <f t="shared" si="7"/>
        <v>1</v>
      </c>
      <c r="P254" s="14" t="s">
        <v>117</v>
      </c>
    </row>
    <row r="255" spans="1:17" x14ac:dyDescent="0.25">
      <c r="A255" s="1" t="s">
        <v>60</v>
      </c>
      <c r="B255" s="1" t="s">
        <v>61</v>
      </c>
      <c r="C255" t="s">
        <v>62</v>
      </c>
      <c r="E255" s="4">
        <v>50627</v>
      </c>
      <c r="F255" s="5">
        <v>65573.240000000005</v>
      </c>
      <c r="H255" s="10" t="s">
        <v>817</v>
      </c>
      <c r="J255" s="6">
        <v>50627</v>
      </c>
      <c r="K255" s="12">
        <v>65573.25328141691</v>
      </c>
      <c r="M255">
        <f t="shared" si="6"/>
        <v>0</v>
      </c>
      <c r="N255" s="13">
        <f t="shared" si="7"/>
        <v>1</v>
      </c>
      <c r="P255" s="14" t="s">
        <v>819</v>
      </c>
    </row>
    <row r="256" spans="1:17" x14ac:dyDescent="0.25">
      <c r="A256" s="1" t="s">
        <v>408</v>
      </c>
      <c r="B256" s="1" t="s">
        <v>58</v>
      </c>
      <c r="C256" t="s">
        <v>54</v>
      </c>
      <c r="E256" s="4">
        <v>53306</v>
      </c>
      <c r="F256" s="5">
        <v>-400.99</v>
      </c>
      <c r="G256" s="10" t="s">
        <v>365</v>
      </c>
      <c r="H256"/>
      <c r="J256" s="6">
        <v>53306</v>
      </c>
      <c r="K256" s="12">
        <v>-402.66657125838748</v>
      </c>
      <c r="M256">
        <f t="shared" si="6"/>
        <v>0</v>
      </c>
      <c r="N256" s="13">
        <f t="shared" si="7"/>
        <v>1</v>
      </c>
      <c r="P256" s="14" t="s">
        <v>117</v>
      </c>
    </row>
    <row r="257" spans="1:16" x14ac:dyDescent="0.25">
      <c r="A257" s="1" t="s">
        <v>409</v>
      </c>
      <c r="B257" s="1" t="s">
        <v>58</v>
      </c>
      <c r="C257" t="s">
        <v>54</v>
      </c>
      <c r="E257" s="4">
        <v>47544</v>
      </c>
      <c r="F257" s="5">
        <v>-130.09</v>
      </c>
      <c r="H257"/>
      <c r="J257" s="6">
        <v>47544</v>
      </c>
      <c r="K257" s="12">
        <v>-130.3325903141712</v>
      </c>
      <c r="M257">
        <f t="shared" si="6"/>
        <v>0</v>
      </c>
      <c r="N257" s="13">
        <f t="shared" si="7"/>
        <v>1</v>
      </c>
      <c r="P257" s="14" t="s">
        <v>117</v>
      </c>
    </row>
    <row r="258" spans="1:16" x14ac:dyDescent="0.25">
      <c r="A258" s="1" t="s">
        <v>410</v>
      </c>
      <c r="B258" s="1" t="s">
        <v>331</v>
      </c>
      <c r="C258" t="s">
        <v>317</v>
      </c>
      <c r="E258" s="4">
        <v>47869</v>
      </c>
      <c r="F258" s="5">
        <v>-71.510000000000005</v>
      </c>
      <c r="H258"/>
      <c r="J258" s="6">
        <v>47869</v>
      </c>
      <c r="K258" s="12">
        <v>-71.412995275360061</v>
      </c>
      <c r="M258">
        <f t="shared" ref="M258:M321" si="8">E258-J258</f>
        <v>0</v>
      </c>
      <c r="N258" s="13">
        <f t="shared" ref="N258:N321" si="9">ROUND(K258/F258,2)</f>
        <v>1</v>
      </c>
      <c r="P258" s="14" t="s">
        <v>117</v>
      </c>
    </row>
    <row r="259" spans="1:16" x14ac:dyDescent="0.25">
      <c r="A259" s="1" t="s">
        <v>411</v>
      </c>
      <c r="B259" s="1" t="s">
        <v>331</v>
      </c>
      <c r="C259" t="s">
        <v>317</v>
      </c>
      <c r="E259" s="4">
        <v>49755</v>
      </c>
      <c r="F259" s="5">
        <v>-605.98</v>
      </c>
      <c r="H259"/>
      <c r="J259" s="6">
        <v>49755</v>
      </c>
      <c r="K259" s="12">
        <v>-609.20728881465197</v>
      </c>
      <c r="M259">
        <f t="shared" si="8"/>
        <v>0</v>
      </c>
      <c r="N259" s="13">
        <f t="shared" si="9"/>
        <v>1.01</v>
      </c>
      <c r="P259" s="14" t="s">
        <v>117</v>
      </c>
    </row>
    <row r="260" spans="1:16" x14ac:dyDescent="0.25">
      <c r="A260" s="1" t="s">
        <v>412</v>
      </c>
      <c r="B260" s="1" t="s">
        <v>64</v>
      </c>
      <c r="C260" s="3">
        <v>31594</v>
      </c>
      <c r="E260" s="4">
        <v>60402</v>
      </c>
      <c r="F260" s="5">
        <v>-43.64</v>
      </c>
      <c r="H260"/>
      <c r="J260" s="6">
        <v>60402</v>
      </c>
      <c r="K260" s="12">
        <v>-44.577252091083352</v>
      </c>
      <c r="M260">
        <f t="shared" si="8"/>
        <v>0</v>
      </c>
      <c r="N260" s="13">
        <f t="shared" si="9"/>
        <v>1.02</v>
      </c>
      <c r="P260" s="14" t="s">
        <v>117</v>
      </c>
    </row>
    <row r="261" spans="1:16" x14ac:dyDescent="0.25">
      <c r="A261" s="1" t="s">
        <v>413</v>
      </c>
      <c r="B261" s="1" t="s">
        <v>331</v>
      </c>
      <c r="C261" t="s">
        <v>317</v>
      </c>
      <c r="E261" s="4">
        <v>47357</v>
      </c>
      <c r="F261" s="5">
        <v>-54.7</v>
      </c>
      <c r="H261"/>
      <c r="J261" s="6">
        <v>47357</v>
      </c>
      <c r="K261" s="12">
        <v>-55.025637769138342</v>
      </c>
      <c r="M261">
        <f t="shared" si="8"/>
        <v>0</v>
      </c>
      <c r="N261" s="13">
        <f t="shared" si="9"/>
        <v>1.01</v>
      </c>
      <c r="P261" s="14" t="s">
        <v>117</v>
      </c>
    </row>
    <row r="262" spans="1:16" x14ac:dyDescent="0.25">
      <c r="A262" s="1" t="s">
        <v>414</v>
      </c>
      <c r="B262" s="1" t="s">
        <v>64</v>
      </c>
      <c r="C262" s="3">
        <v>31594</v>
      </c>
      <c r="E262" s="4">
        <v>57964</v>
      </c>
      <c r="F262" s="5">
        <v>-119.09</v>
      </c>
      <c r="G262" s="10" t="s">
        <v>223</v>
      </c>
      <c r="H262"/>
      <c r="J262" s="6">
        <v>57690</v>
      </c>
      <c r="K262" s="12">
        <v>-87.677770468498082</v>
      </c>
      <c r="M262">
        <f t="shared" si="8"/>
        <v>274</v>
      </c>
      <c r="N262" s="13">
        <f t="shared" si="9"/>
        <v>0.74</v>
      </c>
      <c r="P262" s="14"/>
    </row>
    <row r="263" spans="1:16" x14ac:dyDescent="0.25">
      <c r="A263" s="1" t="s">
        <v>415</v>
      </c>
      <c r="B263" s="1" t="s">
        <v>58</v>
      </c>
      <c r="C263" t="s">
        <v>54</v>
      </c>
      <c r="E263" s="4">
        <v>50475</v>
      </c>
      <c r="F263" s="5">
        <v>-390.12</v>
      </c>
      <c r="H263"/>
      <c r="J263" s="6">
        <v>50475</v>
      </c>
      <c r="K263" s="12">
        <v>-391.15983519363101</v>
      </c>
      <c r="M263">
        <f t="shared" si="8"/>
        <v>0</v>
      </c>
      <c r="N263" s="13">
        <f t="shared" si="9"/>
        <v>1</v>
      </c>
      <c r="P263" s="14" t="s">
        <v>117</v>
      </c>
    </row>
    <row r="264" spans="1:16" x14ac:dyDescent="0.25">
      <c r="A264" s="1" t="s">
        <v>416</v>
      </c>
      <c r="B264" s="1" t="s">
        <v>331</v>
      </c>
      <c r="C264" t="s">
        <v>317</v>
      </c>
      <c r="E264" s="4">
        <v>46337</v>
      </c>
      <c r="F264" s="5">
        <v>-39.14</v>
      </c>
      <c r="H264"/>
      <c r="J264" s="6">
        <v>46337</v>
      </c>
      <c r="K264" s="12">
        <v>-39.146401234790737</v>
      </c>
      <c r="M264">
        <f t="shared" si="8"/>
        <v>0</v>
      </c>
      <c r="N264" s="13">
        <f t="shared" si="9"/>
        <v>1</v>
      </c>
      <c r="P264" s="14" t="s">
        <v>117</v>
      </c>
    </row>
    <row r="265" spans="1:16" x14ac:dyDescent="0.25">
      <c r="A265" s="1" t="s">
        <v>417</v>
      </c>
      <c r="B265" s="1" t="s">
        <v>58</v>
      </c>
      <c r="C265" t="s">
        <v>54</v>
      </c>
      <c r="E265" s="4">
        <v>48283</v>
      </c>
      <c r="F265" s="5">
        <v>-42.39</v>
      </c>
      <c r="G265" s="10" t="s">
        <v>328</v>
      </c>
      <c r="H265"/>
      <c r="J265" s="6">
        <v>48283</v>
      </c>
      <c r="K265" s="12">
        <v>-42.582544272770633</v>
      </c>
      <c r="M265">
        <f t="shared" si="8"/>
        <v>0</v>
      </c>
      <c r="N265" s="13">
        <f t="shared" si="9"/>
        <v>1</v>
      </c>
      <c r="P265" s="14" t="s">
        <v>117</v>
      </c>
    </row>
    <row r="266" spans="1:16" x14ac:dyDescent="0.25">
      <c r="A266" s="1" t="s">
        <v>418</v>
      </c>
      <c r="B266" s="1" t="s">
        <v>58</v>
      </c>
      <c r="C266" t="s">
        <v>54</v>
      </c>
      <c r="E266" s="4">
        <v>50084</v>
      </c>
      <c r="F266" s="5">
        <v>-28.46</v>
      </c>
      <c r="H266"/>
      <c r="J266" s="6">
        <v>50084</v>
      </c>
      <c r="K266" s="12">
        <v>-28.935606434857139</v>
      </c>
      <c r="M266">
        <f t="shared" si="8"/>
        <v>0</v>
      </c>
      <c r="N266" s="13">
        <f t="shared" si="9"/>
        <v>1.02</v>
      </c>
      <c r="P266" s="14" t="s">
        <v>117</v>
      </c>
    </row>
    <row r="267" spans="1:16" x14ac:dyDescent="0.25">
      <c r="A267" s="1" t="s">
        <v>419</v>
      </c>
      <c r="B267" s="1" t="s">
        <v>64</v>
      </c>
      <c r="C267" s="3">
        <v>31594</v>
      </c>
      <c r="E267" s="4">
        <v>53035</v>
      </c>
      <c r="F267" s="5">
        <v>-11.84</v>
      </c>
      <c r="H267"/>
      <c r="J267" s="6">
        <v>53035</v>
      </c>
      <c r="K267" s="12">
        <v>-12.41780947459957</v>
      </c>
      <c r="M267">
        <f t="shared" si="8"/>
        <v>0</v>
      </c>
      <c r="N267" s="13">
        <f t="shared" si="9"/>
        <v>1.05</v>
      </c>
      <c r="P267" s="14" t="s">
        <v>117</v>
      </c>
    </row>
    <row r="268" spans="1:16" x14ac:dyDescent="0.25">
      <c r="A268" s="1" t="s">
        <v>420</v>
      </c>
      <c r="B268" s="1" t="s">
        <v>331</v>
      </c>
      <c r="C268" t="s">
        <v>317</v>
      </c>
      <c r="E268" s="4">
        <v>47345</v>
      </c>
      <c r="F268" s="5">
        <v>-51.4</v>
      </c>
      <c r="H268"/>
      <c r="J268" s="6">
        <v>47345</v>
      </c>
      <c r="K268" s="12">
        <v>-51.446682436671487</v>
      </c>
      <c r="M268">
        <f t="shared" si="8"/>
        <v>0</v>
      </c>
      <c r="N268" s="13">
        <f t="shared" si="9"/>
        <v>1</v>
      </c>
      <c r="P268" s="14" t="s">
        <v>117</v>
      </c>
    </row>
    <row r="269" spans="1:16" x14ac:dyDescent="0.25">
      <c r="A269" s="1" t="s">
        <v>421</v>
      </c>
      <c r="B269" s="1" t="s">
        <v>58</v>
      </c>
      <c r="C269" t="s">
        <v>54</v>
      </c>
      <c r="E269" s="4">
        <v>46552</v>
      </c>
      <c r="F269" s="5">
        <v>-2.08</v>
      </c>
      <c r="H269"/>
      <c r="J269" s="6">
        <v>46552</v>
      </c>
      <c r="K269" s="12">
        <v>-2.0932756612022132</v>
      </c>
      <c r="M269">
        <f t="shared" si="8"/>
        <v>0</v>
      </c>
      <c r="N269" s="13">
        <f t="shared" si="9"/>
        <v>1.01</v>
      </c>
      <c r="P269" s="14" t="s">
        <v>117</v>
      </c>
    </row>
    <row r="270" spans="1:16" x14ac:dyDescent="0.25">
      <c r="A270" s="1" t="s">
        <v>422</v>
      </c>
      <c r="B270" s="1" t="s">
        <v>423</v>
      </c>
      <c r="C270" t="s">
        <v>312</v>
      </c>
      <c r="E270" s="4">
        <v>48092</v>
      </c>
      <c r="F270" s="5">
        <v>-9.27</v>
      </c>
      <c r="H270"/>
      <c r="J270" s="6">
        <v>48092</v>
      </c>
      <c r="K270" s="12">
        <v>-9.3667647877273197</v>
      </c>
      <c r="M270">
        <f t="shared" si="8"/>
        <v>0</v>
      </c>
      <c r="N270" s="13">
        <f t="shared" si="9"/>
        <v>1.01</v>
      </c>
      <c r="P270" s="14" t="s">
        <v>117</v>
      </c>
    </row>
    <row r="271" spans="1:16" x14ac:dyDescent="0.25">
      <c r="A271" s="1" t="s">
        <v>424</v>
      </c>
      <c r="B271" s="1" t="s">
        <v>423</v>
      </c>
      <c r="C271" t="s">
        <v>312</v>
      </c>
      <c r="E271" s="4">
        <v>47423</v>
      </c>
      <c r="F271" s="5">
        <v>-59.71</v>
      </c>
      <c r="H271"/>
      <c r="J271" s="6">
        <v>47423</v>
      </c>
      <c r="K271" s="12">
        <v>-59.783421567252176</v>
      </c>
      <c r="M271">
        <f t="shared" si="8"/>
        <v>0</v>
      </c>
      <c r="N271" s="13">
        <f t="shared" si="9"/>
        <v>1</v>
      </c>
      <c r="P271" s="14" t="s">
        <v>117</v>
      </c>
    </row>
    <row r="272" spans="1:16" x14ac:dyDescent="0.25">
      <c r="A272" s="1" t="s">
        <v>425</v>
      </c>
      <c r="B272" s="1" t="s">
        <v>58</v>
      </c>
      <c r="C272" t="s">
        <v>54</v>
      </c>
      <c r="E272" s="4">
        <v>47536</v>
      </c>
      <c r="F272" s="5">
        <v>-178.95</v>
      </c>
      <c r="H272"/>
      <c r="J272" s="6">
        <v>47536</v>
      </c>
      <c r="K272" s="12">
        <v>-179.5231686024552</v>
      </c>
      <c r="M272">
        <f t="shared" si="8"/>
        <v>0</v>
      </c>
      <c r="N272" s="13">
        <f t="shared" si="9"/>
        <v>1</v>
      </c>
      <c r="P272" s="14" t="s">
        <v>117</v>
      </c>
    </row>
    <row r="273" spans="1:16" x14ac:dyDescent="0.25">
      <c r="A273" s="1" t="s">
        <v>426</v>
      </c>
      <c r="B273" s="1" t="s">
        <v>64</v>
      </c>
      <c r="C273" s="3">
        <v>31594</v>
      </c>
      <c r="E273" s="4">
        <v>54493</v>
      </c>
      <c r="F273" s="5">
        <v>-20.8</v>
      </c>
      <c r="H273"/>
      <c r="J273" s="6">
        <v>54493</v>
      </c>
      <c r="K273" s="12">
        <v>-21.43356632650972</v>
      </c>
      <c r="M273">
        <f t="shared" si="8"/>
        <v>0</v>
      </c>
      <c r="N273" s="13">
        <f t="shared" si="9"/>
        <v>1.03</v>
      </c>
      <c r="P273" s="14" t="s">
        <v>117</v>
      </c>
    </row>
    <row r="274" spans="1:16" x14ac:dyDescent="0.25">
      <c r="A274" s="1" t="s">
        <v>427</v>
      </c>
      <c r="B274" s="1" t="s">
        <v>428</v>
      </c>
      <c r="C274" t="s">
        <v>429</v>
      </c>
      <c r="E274" s="4">
        <v>51342</v>
      </c>
      <c r="F274" s="5">
        <v>-100.78</v>
      </c>
      <c r="G274" s="10" t="s">
        <v>82</v>
      </c>
      <c r="H274"/>
      <c r="J274" s="6">
        <v>51342</v>
      </c>
      <c r="K274" s="12">
        <v>-102.8727310462511</v>
      </c>
      <c r="M274">
        <f t="shared" si="8"/>
        <v>0</v>
      </c>
      <c r="N274" s="13">
        <f t="shared" si="9"/>
        <v>1.02</v>
      </c>
      <c r="P274" s="14" t="s">
        <v>117</v>
      </c>
    </row>
    <row r="275" spans="1:16" x14ac:dyDescent="0.25">
      <c r="A275" s="1" t="s">
        <v>430</v>
      </c>
      <c r="B275" s="1" t="s">
        <v>428</v>
      </c>
      <c r="C275" t="s">
        <v>429</v>
      </c>
      <c r="E275" s="4">
        <v>52866</v>
      </c>
      <c r="F275" s="5">
        <v>-405.41</v>
      </c>
      <c r="G275" s="10" t="s">
        <v>431</v>
      </c>
      <c r="H275"/>
      <c r="J275" s="6">
        <v>52866</v>
      </c>
      <c r="K275" s="12">
        <v>-406.51107730022602</v>
      </c>
      <c r="M275">
        <f t="shared" si="8"/>
        <v>0</v>
      </c>
      <c r="N275" s="13">
        <f t="shared" si="9"/>
        <v>1</v>
      </c>
      <c r="P275" s="14" t="s">
        <v>117</v>
      </c>
    </row>
    <row r="276" spans="1:16" x14ac:dyDescent="0.25">
      <c r="A276" s="1" t="s">
        <v>432</v>
      </c>
      <c r="B276" s="1" t="s">
        <v>58</v>
      </c>
      <c r="C276" t="s">
        <v>54</v>
      </c>
      <c r="E276" s="4">
        <v>51700</v>
      </c>
      <c r="F276" s="5">
        <v>-304.10000000000002</v>
      </c>
      <c r="G276" s="10" t="s">
        <v>198</v>
      </c>
      <c r="H276"/>
      <c r="J276" s="6">
        <v>51639</v>
      </c>
      <c r="K276" s="12">
        <v>-262.6369587725913</v>
      </c>
      <c r="M276">
        <f t="shared" si="8"/>
        <v>61</v>
      </c>
      <c r="N276" s="13">
        <f t="shared" si="9"/>
        <v>0.86</v>
      </c>
      <c r="P276" s="14"/>
    </row>
    <row r="277" spans="1:16" x14ac:dyDescent="0.25">
      <c r="A277" s="1" t="s">
        <v>433</v>
      </c>
      <c r="B277" s="1" t="s">
        <v>58</v>
      </c>
      <c r="C277" t="s">
        <v>54</v>
      </c>
      <c r="E277" s="4">
        <v>48611</v>
      </c>
      <c r="F277" s="5">
        <v>-164.22</v>
      </c>
      <c r="G277" s="10" t="s">
        <v>55</v>
      </c>
      <c r="H277"/>
      <c r="J277" s="6">
        <v>48611</v>
      </c>
      <c r="K277" s="12">
        <v>-164.64499785154081</v>
      </c>
      <c r="M277">
        <f t="shared" si="8"/>
        <v>0</v>
      </c>
      <c r="N277" s="13">
        <f t="shared" si="9"/>
        <v>1</v>
      </c>
      <c r="P277" s="14" t="s">
        <v>117</v>
      </c>
    </row>
    <row r="278" spans="1:16" x14ac:dyDescent="0.25">
      <c r="A278" s="1" t="s">
        <v>434</v>
      </c>
      <c r="B278" s="1" t="s">
        <v>58</v>
      </c>
      <c r="C278" t="s">
        <v>54</v>
      </c>
      <c r="E278" s="4">
        <v>47239</v>
      </c>
      <c r="F278" s="5">
        <v>-58.01</v>
      </c>
      <c r="H278"/>
      <c r="J278" s="6">
        <v>47239</v>
      </c>
      <c r="K278" s="12">
        <v>-58.148639528146333</v>
      </c>
      <c r="M278">
        <f t="shared" si="8"/>
        <v>0</v>
      </c>
      <c r="N278" s="13">
        <f t="shared" si="9"/>
        <v>1</v>
      </c>
      <c r="P278" s="14" t="s">
        <v>117</v>
      </c>
    </row>
    <row r="279" spans="1:16" x14ac:dyDescent="0.25">
      <c r="A279" s="1" t="s">
        <v>435</v>
      </c>
      <c r="B279" s="1" t="s">
        <v>428</v>
      </c>
      <c r="C279" t="s">
        <v>429</v>
      </c>
      <c r="E279" s="4">
        <v>52106</v>
      </c>
      <c r="F279" s="5">
        <v>-115.67</v>
      </c>
      <c r="H279"/>
      <c r="J279" s="6">
        <v>52106</v>
      </c>
      <c r="K279" s="12">
        <v>-118.717629482002</v>
      </c>
      <c r="M279">
        <f t="shared" si="8"/>
        <v>0</v>
      </c>
      <c r="N279" s="13">
        <f t="shared" si="9"/>
        <v>1.03</v>
      </c>
      <c r="P279" s="14" t="s">
        <v>117</v>
      </c>
    </row>
    <row r="280" spans="1:16" x14ac:dyDescent="0.25">
      <c r="A280" s="1" t="s">
        <v>436</v>
      </c>
      <c r="B280" s="1" t="s">
        <v>58</v>
      </c>
      <c r="C280" t="s">
        <v>54</v>
      </c>
      <c r="E280" s="4">
        <v>49589</v>
      </c>
      <c r="F280" s="5">
        <v>-52.4</v>
      </c>
      <c r="H280"/>
      <c r="J280" s="6">
        <v>49589</v>
      </c>
      <c r="K280" s="12">
        <v>-52.688565609754363</v>
      </c>
      <c r="M280">
        <f t="shared" si="8"/>
        <v>0</v>
      </c>
      <c r="N280" s="13">
        <f t="shared" si="9"/>
        <v>1.01</v>
      </c>
      <c r="P280" s="14" t="s">
        <v>117</v>
      </c>
    </row>
    <row r="281" spans="1:16" x14ac:dyDescent="0.25">
      <c r="A281" s="1" t="s">
        <v>437</v>
      </c>
      <c r="B281" s="1" t="s">
        <v>58</v>
      </c>
      <c r="C281" t="s">
        <v>54</v>
      </c>
      <c r="E281" s="4">
        <v>54972</v>
      </c>
      <c r="F281" s="5">
        <v>-63</v>
      </c>
      <c r="H281"/>
      <c r="J281" s="6">
        <v>54972</v>
      </c>
      <c r="K281" s="12">
        <v>-63.324517983097337</v>
      </c>
      <c r="M281">
        <f t="shared" si="8"/>
        <v>0</v>
      </c>
      <c r="N281" s="13">
        <f t="shared" si="9"/>
        <v>1.01</v>
      </c>
      <c r="P281" s="14" t="s">
        <v>117</v>
      </c>
    </row>
    <row r="282" spans="1:16" x14ac:dyDescent="0.25">
      <c r="A282" s="1" t="s">
        <v>438</v>
      </c>
      <c r="B282" s="1" t="s">
        <v>423</v>
      </c>
      <c r="C282" t="s">
        <v>312</v>
      </c>
      <c r="E282" s="4">
        <v>49430</v>
      </c>
      <c r="F282" s="5">
        <v>-137.86000000000001</v>
      </c>
      <c r="H282"/>
      <c r="J282" s="6">
        <v>48305</v>
      </c>
      <c r="K282" s="12">
        <v>2700.4790272573209</v>
      </c>
      <c r="M282">
        <f t="shared" si="8"/>
        <v>1125</v>
      </c>
      <c r="N282" s="13">
        <f t="shared" si="9"/>
        <v>-19.59</v>
      </c>
      <c r="P282" s="14" t="s">
        <v>117</v>
      </c>
    </row>
    <row r="283" spans="1:16" x14ac:dyDescent="0.25">
      <c r="A283" s="1" t="s">
        <v>439</v>
      </c>
      <c r="B283" s="1" t="s">
        <v>428</v>
      </c>
      <c r="C283" t="s">
        <v>429</v>
      </c>
      <c r="E283" s="4">
        <v>50831</v>
      </c>
      <c r="F283" s="5">
        <v>-11.6</v>
      </c>
      <c r="H283"/>
      <c r="J283" s="6">
        <v>50831</v>
      </c>
      <c r="K283" s="12">
        <v>-12.803841303182621</v>
      </c>
      <c r="M283">
        <f t="shared" si="8"/>
        <v>0</v>
      </c>
      <c r="N283" s="13">
        <f t="shared" si="9"/>
        <v>1.1000000000000001</v>
      </c>
      <c r="P283" s="14" t="s">
        <v>117</v>
      </c>
    </row>
    <row r="284" spans="1:16" x14ac:dyDescent="0.25">
      <c r="A284" s="1" t="s">
        <v>440</v>
      </c>
      <c r="B284" s="1" t="s">
        <v>428</v>
      </c>
      <c r="C284" t="s">
        <v>429</v>
      </c>
      <c r="E284" s="4">
        <v>54729</v>
      </c>
      <c r="F284" s="5">
        <v>-412.51</v>
      </c>
      <c r="G284" s="10" t="s">
        <v>234</v>
      </c>
      <c r="H284"/>
      <c r="J284" s="6">
        <v>54729</v>
      </c>
      <c r="K284" s="12">
        <v>-415.14707375962502</v>
      </c>
      <c r="M284">
        <f t="shared" si="8"/>
        <v>0</v>
      </c>
      <c r="N284" s="13">
        <f t="shared" si="9"/>
        <v>1.01</v>
      </c>
      <c r="P284" s="14" t="s">
        <v>117</v>
      </c>
    </row>
    <row r="285" spans="1:16" x14ac:dyDescent="0.25">
      <c r="A285" s="1" t="s">
        <v>441</v>
      </c>
      <c r="B285" s="1" t="s">
        <v>428</v>
      </c>
      <c r="C285" t="s">
        <v>429</v>
      </c>
      <c r="E285" s="4">
        <v>56375</v>
      </c>
      <c r="F285" s="5">
        <v>74911.77</v>
      </c>
      <c r="H285"/>
      <c r="J285" s="6">
        <v>47885</v>
      </c>
      <c r="K285" s="12">
        <v>77529.295038141863</v>
      </c>
      <c r="M285">
        <f t="shared" si="8"/>
        <v>8490</v>
      </c>
      <c r="N285" s="13">
        <f t="shared" si="9"/>
        <v>1.03</v>
      </c>
      <c r="P285" s="14" t="s">
        <v>217</v>
      </c>
    </row>
    <row r="286" spans="1:16" x14ac:dyDescent="0.25">
      <c r="A286" s="1" t="s">
        <v>442</v>
      </c>
      <c r="B286" s="1" t="s">
        <v>428</v>
      </c>
      <c r="C286" t="s">
        <v>429</v>
      </c>
      <c r="E286" s="4">
        <v>52085</v>
      </c>
      <c r="F286" s="5">
        <v>-2.81</v>
      </c>
      <c r="H286"/>
      <c r="J286" s="6">
        <v>52085</v>
      </c>
      <c r="K286" s="12">
        <v>-3.3987135352061268</v>
      </c>
      <c r="M286">
        <f t="shared" si="8"/>
        <v>0</v>
      </c>
      <c r="N286" s="13">
        <f t="shared" si="9"/>
        <v>1.21</v>
      </c>
      <c r="P286" s="14" t="s">
        <v>117</v>
      </c>
    </row>
    <row r="287" spans="1:16" x14ac:dyDescent="0.25">
      <c r="A287" s="1" t="s">
        <v>443</v>
      </c>
      <c r="B287" s="1" t="s">
        <v>428</v>
      </c>
      <c r="C287" t="s">
        <v>429</v>
      </c>
      <c r="E287" s="4">
        <v>48269</v>
      </c>
      <c r="F287" s="5">
        <v>-33.770000000000003</v>
      </c>
      <c r="H287"/>
      <c r="J287" s="6">
        <v>48269</v>
      </c>
      <c r="K287" s="12">
        <v>-33.857059926391003</v>
      </c>
      <c r="M287">
        <f t="shared" si="8"/>
        <v>0</v>
      </c>
      <c r="N287" s="13">
        <f t="shared" si="9"/>
        <v>1</v>
      </c>
      <c r="P287" s="14" t="s">
        <v>117</v>
      </c>
    </row>
    <row r="288" spans="1:16" x14ac:dyDescent="0.25">
      <c r="A288" s="1" t="s">
        <v>444</v>
      </c>
      <c r="B288" s="1" t="s">
        <v>428</v>
      </c>
      <c r="C288" t="s">
        <v>429</v>
      </c>
      <c r="E288" s="4">
        <v>51247</v>
      </c>
      <c r="F288" s="5">
        <v>-143.56</v>
      </c>
      <c r="H288"/>
      <c r="J288" s="6">
        <v>51247</v>
      </c>
      <c r="K288" s="12">
        <v>-144.83166684346151</v>
      </c>
      <c r="M288">
        <f t="shared" si="8"/>
        <v>0</v>
      </c>
      <c r="N288" s="13">
        <f t="shared" si="9"/>
        <v>1.01</v>
      </c>
      <c r="P288" s="14" t="s">
        <v>117</v>
      </c>
    </row>
    <row r="289" spans="1:16" x14ac:dyDescent="0.25">
      <c r="A289" s="1" t="s">
        <v>445</v>
      </c>
      <c r="B289" s="1" t="s">
        <v>428</v>
      </c>
      <c r="C289" t="s">
        <v>429</v>
      </c>
      <c r="E289" s="4">
        <v>46822</v>
      </c>
      <c r="F289" s="5">
        <v>-11.5</v>
      </c>
      <c r="G289" s="10" t="s">
        <v>446</v>
      </c>
      <c r="H289"/>
      <c r="J289" s="6">
        <v>46822</v>
      </c>
      <c r="K289" s="12">
        <v>-11.530333228275991</v>
      </c>
      <c r="M289">
        <f t="shared" si="8"/>
        <v>0</v>
      </c>
      <c r="N289" s="13">
        <f t="shared" si="9"/>
        <v>1</v>
      </c>
      <c r="P289" s="14" t="s">
        <v>117</v>
      </c>
    </row>
    <row r="290" spans="1:16" x14ac:dyDescent="0.25">
      <c r="A290" s="1" t="s">
        <v>447</v>
      </c>
      <c r="B290" s="1" t="s">
        <v>428</v>
      </c>
      <c r="C290" t="s">
        <v>429</v>
      </c>
      <c r="E290" s="4">
        <v>47122</v>
      </c>
      <c r="F290" s="5">
        <v>-20.52</v>
      </c>
      <c r="H290"/>
      <c r="J290" s="6">
        <v>47122</v>
      </c>
      <c r="K290" s="12">
        <v>-20.512980598539858</v>
      </c>
      <c r="M290">
        <f t="shared" si="8"/>
        <v>0</v>
      </c>
      <c r="N290" s="13">
        <f t="shared" si="9"/>
        <v>1</v>
      </c>
      <c r="P290" s="14" t="s">
        <v>117</v>
      </c>
    </row>
    <row r="291" spans="1:16" x14ac:dyDescent="0.25">
      <c r="A291" s="1" t="s">
        <v>63</v>
      </c>
      <c r="B291" s="1" t="s">
        <v>64</v>
      </c>
      <c r="C291" s="3">
        <v>31594</v>
      </c>
      <c r="E291" s="4">
        <v>77803</v>
      </c>
      <c r="F291" s="5">
        <v>143985.18</v>
      </c>
      <c r="H291" s="10" t="s">
        <v>822</v>
      </c>
      <c r="J291" s="6">
        <v>68307</v>
      </c>
      <c r="K291" s="12">
        <v>55224.160394229242</v>
      </c>
      <c r="M291">
        <f t="shared" si="8"/>
        <v>9496</v>
      </c>
      <c r="N291" s="13">
        <f t="shared" si="9"/>
        <v>0.38</v>
      </c>
      <c r="P291" s="14" t="s">
        <v>819</v>
      </c>
    </row>
    <row r="292" spans="1:16" x14ac:dyDescent="0.25">
      <c r="A292" s="1" t="s">
        <v>448</v>
      </c>
      <c r="B292" s="1" t="s">
        <v>428</v>
      </c>
      <c r="C292" t="s">
        <v>429</v>
      </c>
      <c r="E292" s="4">
        <v>48901</v>
      </c>
      <c r="F292" s="5">
        <v>-52.65</v>
      </c>
      <c r="H292"/>
      <c r="J292" s="6">
        <v>48901</v>
      </c>
      <c r="K292" s="12">
        <v>-58.572442589785958</v>
      </c>
      <c r="M292">
        <f t="shared" si="8"/>
        <v>0</v>
      </c>
      <c r="N292" s="13">
        <f t="shared" si="9"/>
        <v>1.1100000000000001</v>
      </c>
      <c r="P292" s="14" t="s">
        <v>117</v>
      </c>
    </row>
    <row r="293" spans="1:16" x14ac:dyDescent="0.25">
      <c r="A293" s="1" t="s">
        <v>449</v>
      </c>
      <c r="B293" s="1" t="s">
        <v>428</v>
      </c>
      <c r="C293" t="s">
        <v>429</v>
      </c>
      <c r="E293" s="4">
        <v>49936</v>
      </c>
      <c r="F293" s="5">
        <v>-193.06</v>
      </c>
      <c r="H293"/>
      <c r="J293" s="6">
        <v>49936</v>
      </c>
      <c r="K293" s="12">
        <v>-196.32246522876079</v>
      </c>
      <c r="M293">
        <f t="shared" si="8"/>
        <v>0</v>
      </c>
      <c r="N293" s="13">
        <f t="shared" si="9"/>
        <v>1.02</v>
      </c>
      <c r="P293" s="14" t="s">
        <v>117</v>
      </c>
    </row>
    <row r="294" spans="1:16" x14ac:dyDescent="0.25">
      <c r="A294" s="1" t="s">
        <v>450</v>
      </c>
      <c r="B294" s="1" t="s">
        <v>58</v>
      </c>
      <c r="C294" t="s">
        <v>54</v>
      </c>
      <c r="E294" s="4">
        <v>46517</v>
      </c>
      <c r="F294" s="5">
        <v>-25</v>
      </c>
      <c r="G294" s="10" t="s">
        <v>451</v>
      </c>
      <c r="H294"/>
      <c r="J294" s="6">
        <v>46517</v>
      </c>
      <c r="K294" s="12">
        <v>-25.00258573042316</v>
      </c>
      <c r="M294">
        <f t="shared" si="8"/>
        <v>0</v>
      </c>
      <c r="N294" s="13">
        <f t="shared" si="9"/>
        <v>1</v>
      </c>
      <c r="P294" s="14" t="s">
        <v>117</v>
      </c>
    </row>
    <row r="295" spans="1:16" x14ac:dyDescent="0.25">
      <c r="A295" s="1" t="s">
        <v>452</v>
      </c>
      <c r="B295" s="1" t="s">
        <v>58</v>
      </c>
      <c r="C295" t="s">
        <v>54</v>
      </c>
      <c r="E295" s="4">
        <v>47019</v>
      </c>
      <c r="F295" s="5">
        <v>-28.62</v>
      </c>
      <c r="H295"/>
      <c r="J295" s="6">
        <v>47019</v>
      </c>
      <c r="K295" s="12">
        <v>-28.65002922884053</v>
      </c>
      <c r="M295">
        <f t="shared" si="8"/>
        <v>0</v>
      </c>
      <c r="N295" s="13">
        <f t="shared" si="9"/>
        <v>1</v>
      </c>
      <c r="P295" s="14" t="s">
        <v>117</v>
      </c>
    </row>
    <row r="296" spans="1:16" x14ac:dyDescent="0.25">
      <c r="A296" s="1" t="s">
        <v>453</v>
      </c>
      <c r="B296" s="1" t="s">
        <v>58</v>
      </c>
      <c r="C296" t="s">
        <v>54</v>
      </c>
      <c r="E296" s="4">
        <v>46221</v>
      </c>
      <c r="F296" s="5">
        <v>-316.73</v>
      </c>
      <c r="H296"/>
      <c r="J296" s="6">
        <v>46221</v>
      </c>
      <c r="K296" s="12">
        <v>-316.76921453452348</v>
      </c>
      <c r="M296">
        <f t="shared" si="8"/>
        <v>0</v>
      </c>
      <c r="N296" s="13">
        <f t="shared" si="9"/>
        <v>1</v>
      </c>
      <c r="P296" s="14" t="s">
        <v>117</v>
      </c>
    </row>
    <row r="297" spans="1:16" x14ac:dyDescent="0.25">
      <c r="A297" s="1" t="s">
        <v>454</v>
      </c>
      <c r="B297" s="1" t="s">
        <v>58</v>
      </c>
      <c r="C297" t="s">
        <v>54</v>
      </c>
      <c r="E297" s="4">
        <v>52265</v>
      </c>
      <c r="F297" s="5">
        <v>-109.16</v>
      </c>
      <c r="H297"/>
      <c r="J297" s="6">
        <v>52265</v>
      </c>
      <c r="K297" s="12">
        <v>-111.02896276149499</v>
      </c>
      <c r="M297">
        <f t="shared" si="8"/>
        <v>0</v>
      </c>
      <c r="N297" s="13">
        <f t="shared" si="9"/>
        <v>1.02</v>
      </c>
      <c r="P297" s="14" t="s">
        <v>117</v>
      </c>
    </row>
    <row r="298" spans="1:16" x14ac:dyDescent="0.25">
      <c r="A298" s="1" t="s">
        <v>455</v>
      </c>
      <c r="B298" s="1" t="s">
        <v>58</v>
      </c>
      <c r="C298" t="s">
        <v>54</v>
      </c>
      <c r="E298" s="4">
        <v>48745</v>
      </c>
      <c r="F298" s="5">
        <v>-297.5</v>
      </c>
      <c r="H298"/>
      <c r="J298" s="6">
        <v>48745</v>
      </c>
      <c r="K298" s="12">
        <v>-297.432514332594</v>
      </c>
      <c r="M298">
        <f t="shared" si="8"/>
        <v>0</v>
      </c>
      <c r="N298" s="13">
        <f t="shared" si="9"/>
        <v>1</v>
      </c>
      <c r="P298" s="14" t="s">
        <v>117</v>
      </c>
    </row>
    <row r="299" spans="1:16" x14ac:dyDescent="0.25">
      <c r="A299" s="1" t="s">
        <v>456</v>
      </c>
      <c r="B299" s="1" t="s">
        <v>58</v>
      </c>
      <c r="C299" t="s">
        <v>54</v>
      </c>
      <c r="E299" s="4">
        <v>47886</v>
      </c>
      <c r="F299" s="5">
        <v>-63.3</v>
      </c>
      <c r="H299"/>
      <c r="J299" s="6">
        <v>47886</v>
      </c>
      <c r="K299" s="12">
        <v>-63.485866685399508</v>
      </c>
      <c r="M299">
        <f t="shared" si="8"/>
        <v>0</v>
      </c>
      <c r="N299" s="13">
        <f t="shared" si="9"/>
        <v>1</v>
      </c>
      <c r="P299" s="14" t="s">
        <v>117</v>
      </c>
    </row>
    <row r="300" spans="1:16" x14ac:dyDescent="0.25">
      <c r="A300" s="1" t="s">
        <v>457</v>
      </c>
      <c r="B300" s="1" t="s">
        <v>428</v>
      </c>
      <c r="C300" t="s">
        <v>429</v>
      </c>
      <c r="E300" s="4">
        <v>57071</v>
      </c>
      <c r="F300" s="5">
        <v>-286.66000000000003</v>
      </c>
      <c r="H300"/>
      <c r="J300" s="6">
        <v>57071</v>
      </c>
      <c r="K300" s="12">
        <v>-290.27589163570713</v>
      </c>
      <c r="M300">
        <f t="shared" si="8"/>
        <v>0</v>
      </c>
      <c r="N300" s="13">
        <f t="shared" si="9"/>
        <v>1.01</v>
      </c>
      <c r="P300" s="14" t="s">
        <v>117</v>
      </c>
    </row>
    <row r="301" spans="1:16" x14ac:dyDescent="0.25">
      <c r="A301" s="1" t="s">
        <v>458</v>
      </c>
      <c r="B301" s="1" t="s">
        <v>58</v>
      </c>
      <c r="C301" t="s">
        <v>54</v>
      </c>
      <c r="E301" s="4">
        <v>51444</v>
      </c>
      <c r="F301" s="5">
        <v>-18.47</v>
      </c>
      <c r="G301" s="10" t="s">
        <v>55</v>
      </c>
      <c r="H301"/>
      <c r="J301" s="6">
        <v>51564</v>
      </c>
      <c r="K301" s="12">
        <v>-117.6801748855551</v>
      </c>
      <c r="M301">
        <f t="shared" si="8"/>
        <v>-120</v>
      </c>
      <c r="N301" s="13">
        <f t="shared" si="9"/>
        <v>6.37</v>
      </c>
      <c r="P301" s="14" t="s">
        <v>117</v>
      </c>
    </row>
    <row r="302" spans="1:16" x14ac:dyDescent="0.25">
      <c r="A302" s="1" t="s">
        <v>459</v>
      </c>
      <c r="B302" s="1" t="s">
        <v>58</v>
      </c>
      <c r="C302" t="s">
        <v>54</v>
      </c>
      <c r="E302" s="4">
        <v>51461</v>
      </c>
      <c r="F302" s="5">
        <v>-173.42</v>
      </c>
      <c r="G302" s="10" t="s">
        <v>451</v>
      </c>
      <c r="H302"/>
      <c r="J302" s="6">
        <v>51461</v>
      </c>
      <c r="K302" s="12">
        <v>-179.14772420061831</v>
      </c>
      <c r="M302">
        <f t="shared" si="8"/>
        <v>0</v>
      </c>
      <c r="N302" s="13">
        <f t="shared" si="9"/>
        <v>1.03</v>
      </c>
      <c r="P302" s="14" t="s">
        <v>117</v>
      </c>
    </row>
    <row r="303" spans="1:16" x14ac:dyDescent="0.25">
      <c r="A303" s="1" t="s">
        <v>460</v>
      </c>
      <c r="B303" s="1" t="s">
        <v>428</v>
      </c>
      <c r="C303" t="s">
        <v>429</v>
      </c>
      <c r="E303" s="4">
        <v>52502</v>
      </c>
      <c r="F303" s="5">
        <v>-176.88</v>
      </c>
      <c r="H303"/>
      <c r="J303" s="6">
        <v>52502</v>
      </c>
      <c r="K303" s="12">
        <v>-181.25619366838521</v>
      </c>
      <c r="M303">
        <f t="shared" si="8"/>
        <v>0</v>
      </c>
      <c r="N303" s="13">
        <f t="shared" si="9"/>
        <v>1.02</v>
      </c>
      <c r="P303" s="14" t="s">
        <v>117</v>
      </c>
    </row>
    <row r="304" spans="1:16" x14ac:dyDescent="0.25">
      <c r="A304" s="1" t="s">
        <v>461</v>
      </c>
      <c r="B304" s="1" t="s">
        <v>58</v>
      </c>
      <c r="C304" t="s">
        <v>54</v>
      </c>
      <c r="E304" s="4">
        <v>48524</v>
      </c>
      <c r="F304" s="5">
        <v>-78.11</v>
      </c>
      <c r="H304"/>
      <c r="J304" s="6">
        <v>48524</v>
      </c>
      <c r="K304" s="12">
        <v>-78.332497385941224</v>
      </c>
      <c r="M304">
        <f t="shared" si="8"/>
        <v>0</v>
      </c>
      <c r="N304" s="13">
        <f t="shared" si="9"/>
        <v>1</v>
      </c>
      <c r="P304" s="14" t="s">
        <v>117</v>
      </c>
    </row>
    <row r="305" spans="1:16" x14ac:dyDescent="0.25">
      <c r="A305" s="1" t="s">
        <v>462</v>
      </c>
      <c r="B305" s="1" t="s">
        <v>428</v>
      </c>
      <c r="C305" t="s">
        <v>429</v>
      </c>
      <c r="E305" s="4">
        <v>51441</v>
      </c>
      <c r="F305" s="5">
        <v>-34</v>
      </c>
      <c r="G305" s="10" t="s">
        <v>463</v>
      </c>
      <c r="H305"/>
      <c r="J305" s="6">
        <v>51349</v>
      </c>
      <c r="K305" s="12">
        <v>-11.417347967139211</v>
      </c>
      <c r="M305">
        <f t="shared" si="8"/>
        <v>92</v>
      </c>
      <c r="N305" s="13">
        <f t="shared" si="9"/>
        <v>0.34</v>
      </c>
      <c r="P305" s="14"/>
    </row>
    <row r="306" spans="1:16" x14ac:dyDescent="0.25">
      <c r="A306" s="1" t="s">
        <v>464</v>
      </c>
      <c r="B306" s="1" t="s">
        <v>428</v>
      </c>
      <c r="C306" t="s">
        <v>429</v>
      </c>
      <c r="E306" s="4">
        <v>48823</v>
      </c>
      <c r="F306" s="5">
        <v>-20.73</v>
      </c>
      <c r="H306"/>
      <c r="J306" s="6">
        <v>48823</v>
      </c>
      <c r="K306" s="12">
        <v>-20.796363146277709</v>
      </c>
      <c r="M306">
        <f t="shared" si="8"/>
        <v>0</v>
      </c>
      <c r="N306" s="13">
        <f t="shared" si="9"/>
        <v>1</v>
      </c>
      <c r="P306" s="14" t="s">
        <v>117</v>
      </c>
    </row>
    <row r="307" spans="1:16" x14ac:dyDescent="0.25">
      <c r="A307" s="1" t="s">
        <v>465</v>
      </c>
      <c r="B307" s="1" t="s">
        <v>428</v>
      </c>
      <c r="C307" t="s">
        <v>429</v>
      </c>
      <c r="E307" s="4">
        <v>48710</v>
      </c>
      <c r="F307" s="5">
        <v>-7.44</v>
      </c>
      <c r="H307"/>
      <c r="J307" s="6">
        <v>48710</v>
      </c>
      <c r="K307" s="12">
        <v>-7.4883996567688023</v>
      </c>
      <c r="M307">
        <f t="shared" si="8"/>
        <v>0</v>
      </c>
      <c r="N307" s="13">
        <f t="shared" si="9"/>
        <v>1.01</v>
      </c>
      <c r="P307" s="14" t="s">
        <v>117</v>
      </c>
    </row>
    <row r="308" spans="1:16" x14ac:dyDescent="0.25">
      <c r="A308" s="1" t="s">
        <v>466</v>
      </c>
      <c r="B308" s="1" t="s">
        <v>428</v>
      </c>
      <c r="C308" t="s">
        <v>429</v>
      </c>
      <c r="E308" s="4">
        <v>48630</v>
      </c>
      <c r="F308" s="5">
        <v>-350.11</v>
      </c>
      <c r="H308"/>
      <c r="J308" s="6">
        <v>48630</v>
      </c>
      <c r="K308" s="12">
        <v>-352.65586205768761</v>
      </c>
      <c r="M308">
        <f t="shared" si="8"/>
        <v>0</v>
      </c>
      <c r="N308" s="13">
        <f t="shared" si="9"/>
        <v>1.01</v>
      </c>
      <c r="P308" s="14" t="s">
        <v>117</v>
      </c>
    </row>
    <row r="309" spans="1:16" x14ac:dyDescent="0.25">
      <c r="A309" s="1" t="s">
        <v>467</v>
      </c>
      <c r="B309" s="1" t="s">
        <v>428</v>
      </c>
      <c r="C309" t="s">
        <v>429</v>
      </c>
      <c r="E309" s="4">
        <v>52532</v>
      </c>
      <c r="F309" s="5">
        <v>-554.99</v>
      </c>
      <c r="G309" s="10" t="s">
        <v>82</v>
      </c>
      <c r="H309"/>
      <c r="J309" s="6">
        <v>52502</v>
      </c>
      <c r="K309" s="12">
        <v>-3.141766641771369</v>
      </c>
      <c r="M309">
        <f t="shared" si="8"/>
        <v>30</v>
      </c>
      <c r="N309" s="13">
        <f t="shared" si="9"/>
        <v>0.01</v>
      </c>
      <c r="P309" s="14" t="s">
        <v>117</v>
      </c>
    </row>
    <row r="310" spans="1:16" x14ac:dyDescent="0.25">
      <c r="A310" s="1" t="s">
        <v>468</v>
      </c>
      <c r="B310" s="1" t="s">
        <v>428</v>
      </c>
      <c r="C310" t="s">
        <v>429</v>
      </c>
      <c r="E310" s="4">
        <v>48153</v>
      </c>
      <c r="F310" s="5">
        <v>-165.43</v>
      </c>
      <c r="G310" s="10" t="s">
        <v>82</v>
      </c>
      <c r="H310"/>
      <c r="J310" s="6">
        <v>48153</v>
      </c>
      <c r="K310" s="12">
        <v>-165.89989966063609</v>
      </c>
      <c r="M310">
        <f t="shared" si="8"/>
        <v>0</v>
      </c>
      <c r="N310" s="13">
        <f t="shared" si="9"/>
        <v>1</v>
      </c>
      <c r="P310" s="14" t="s">
        <v>117</v>
      </c>
    </row>
    <row r="311" spans="1:16" x14ac:dyDescent="0.25">
      <c r="A311" s="1" t="s">
        <v>469</v>
      </c>
      <c r="B311" s="1" t="s">
        <v>64</v>
      </c>
      <c r="C311" s="3">
        <v>31594</v>
      </c>
      <c r="E311" s="4">
        <v>58079</v>
      </c>
      <c r="F311" s="5">
        <v>-28.76</v>
      </c>
      <c r="G311" s="10" t="s">
        <v>73</v>
      </c>
      <c r="H311"/>
      <c r="J311" s="6">
        <v>58079</v>
      </c>
      <c r="K311" s="12">
        <v>-29.520582606986739</v>
      </c>
      <c r="M311">
        <f t="shared" si="8"/>
        <v>0</v>
      </c>
      <c r="N311" s="13">
        <f t="shared" si="9"/>
        <v>1.03</v>
      </c>
      <c r="P311" s="14" t="s">
        <v>117</v>
      </c>
    </row>
    <row r="312" spans="1:16" x14ac:dyDescent="0.25">
      <c r="A312" s="1" t="s">
        <v>470</v>
      </c>
      <c r="B312" s="1" t="s">
        <v>58</v>
      </c>
      <c r="C312" t="s">
        <v>54</v>
      </c>
      <c r="E312" s="4">
        <v>50114</v>
      </c>
      <c r="F312" s="5">
        <v>-60.01</v>
      </c>
      <c r="H312"/>
      <c r="J312" s="6">
        <v>50114</v>
      </c>
      <c r="K312" s="12">
        <v>-60.324868811333097</v>
      </c>
      <c r="M312">
        <f t="shared" si="8"/>
        <v>0</v>
      </c>
      <c r="N312" s="13">
        <f t="shared" si="9"/>
        <v>1.01</v>
      </c>
      <c r="P312" s="14" t="s">
        <v>117</v>
      </c>
    </row>
    <row r="313" spans="1:16" x14ac:dyDescent="0.25">
      <c r="A313" s="1" t="s">
        <v>471</v>
      </c>
      <c r="B313" s="1" t="s">
        <v>428</v>
      </c>
      <c r="C313" t="s">
        <v>429</v>
      </c>
      <c r="E313" s="4">
        <v>56317</v>
      </c>
      <c r="F313" s="5">
        <v>-271.98</v>
      </c>
      <c r="H313"/>
      <c r="J313" s="6">
        <v>47857</v>
      </c>
      <c r="K313" s="12">
        <v>9105.9312107853639</v>
      </c>
      <c r="M313">
        <f t="shared" si="8"/>
        <v>8460</v>
      </c>
      <c r="N313" s="13">
        <f t="shared" si="9"/>
        <v>-33.479999999999997</v>
      </c>
      <c r="P313" s="14" t="s">
        <v>217</v>
      </c>
    </row>
    <row r="314" spans="1:16" x14ac:dyDescent="0.25">
      <c r="A314" s="1" t="s">
        <v>472</v>
      </c>
      <c r="B314" s="1" t="s">
        <v>428</v>
      </c>
      <c r="C314" t="s">
        <v>429</v>
      </c>
      <c r="E314" s="4">
        <v>50969</v>
      </c>
      <c r="F314" s="5">
        <v>-150.4</v>
      </c>
      <c r="H314"/>
      <c r="J314" s="6">
        <v>50969</v>
      </c>
      <c r="K314" s="12">
        <v>-159.76595673271041</v>
      </c>
      <c r="M314">
        <f t="shared" si="8"/>
        <v>0</v>
      </c>
      <c r="N314" s="13">
        <f t="shared" si="9"/>
        <v>1.06</v>
      </c>
      <c r="P314" s="14" t="s">
        <v>117</v>
      </c>
    </row>
    <row r="315" spans="1:16" x14ac:dyDescent="0.25">
      <c r="A315" s="1" t="s">
        <v>473</v>
      </c>
      <c r="B315" s="1" t="s">
        <v>428</v>
      </c>
      <c r="C315" t="s">
        <v>429</v>
      </c>
      <c r="E315" s="4">
        <v>48344</v>
      </c>
      <c r="F315" s="5">
        <v>-110.66</v>
      </c>
      <c r="G315" s="10" t="s">
        <v>82</v>
      </c>
      <c r="H315"/>
      <c r="J315" s="6">
        <v>48344</v>
      </c>
      <c r="K315" s="12">
        <v>-110.7233652427232</v>
      </c>
      <c r="M315">
        <f t="shared" si="8"/>
        <v>0</v>
      </c>
      <c r="N315" s="13">
        <f t="shared" si="9"/>
        <v>1</v>
      </c>
      <c r="P315" s="14" t="s">
        <v>117</v>
      </c>
    </row>
    <row r="316" spans="1:16" x14ac:dyDescent="0.25">
      <c r="A316" s="1" t="s">
        <v>474</v>
      </c>
      <c r="B316" s="1" t="s">
        <v>428</v>
      </c>
      <c r="C316" t="s">
        <v>429</v>
      </c>
      <c r="E316" s="4">
        <v>64040</v>
      </c>
      <c r="F316" s="5">
        <v>-210.99</v>
      </c>
      <c r="H316"/>
      <c r="J316" s="6">
        <v>64040</v>
      </c>
      <c r="K316" s="12">
        <v>-211.20439476909121</v>
      </c>
      <c r="M316">
        <f t="shared" si="8"/>
        <v>0</v>
      </c>
      <c r="N316" s="13">
        <f t="shared" si="9"/>
        <v>1</v>
      </c>
      <c r="P316" s="14" t="s">
        <v>117</v>
      </c>
    </row>
    <row r="317" spans="1:16" x14ac:dyDescent="0.25">
      <c r="A317" s="1" t="s">
        <v>475</v>
      </c>
      <c r="B317" s="1" t="s">
        <v>58</v>
      </c>
      <c r="C317" t="s">
        <v>54</v>
      </c>
      <c r="E317" s="4">
        <v>49393</v>
      </c>
      <c r="F317" s="5">
        <v>-236.46</v>
      </c>
      <c r="H317"/>
      <c r="J317" s="6">
        <v>49393</v>
      </c>
      <c r="K317" s="12">
        <v>-237.88381701620031</v>
      </c>
      <c r="M317">
        <f t="shared" si="8"/>
        <v>0</v>
      </c>
      <c r="N317" s="13">
        <f t="shared" si="9"/>
        <v>1.01</v>
      </c>
      <c r="P317" s="14" t="s">
        <v>117</v>
      </c>
    </row>
    <row r="318" spans="1:16" x14ac:dyDescent="0.25">
      <c r="A318" s="1" t="s">
        <v>476</v>
      </c>
      <c r="B318" s="1" t="s">
        <v>64</v>
      </c>
      <c r="C318" s="3">
        <v>31594</v>
      </c>
      <c r="E318" s="4">
        <v>55916</v>
      </c>
      <c r="F318" s="5">
        <v>-0.18</v>
      </c>
      <c r="H318"/>
      <c r="J318" s="6">
        <v>55916</v>
      </c>
      <c r="K318" s="12">
        <v>-0.45502276345300169</v>
      </c>
      <c r="M318">
        <f t="shared" si="8"/>
        <v>0</v>
      </c>
      <c r="N318" s="13">
        <f t="shared" si="9"/>
        <v>2.5299999999999998</v>
      </c>
      <c r="P318" s="14" t="s">
        <v>117</v>
      </c>
    </row>
    <row r="319" spans="1:16" x14ac:dyDescent="0.25">
      <c r="A319" s="1" t="s">
        <v>477</v>
      </c>
      <c r="B319" s="1" t="s">
        <v>66</v>
      </c>
      <c r="C319" t="s">
        <v>67</v>
      </c>
      <c r="E319" s="4">
        <v>52444</v>
      </c>
      <c r="F319" s="5">
        <v>-179.19</v>
      </c>
      <c r="G319" s="10" t="s">
        <v>431</v>
      </c>
      <c r="H319"/>
      <c r="J319" s="6">
        <v>48611</v>
      </c>
      <c r="K319" s="12">
        <v>14287.195646853541</v>
      </c>
      <c r="M319">
        <f t="shared" si="8"/>
        <v>3833</v>
      </c>
      <c r="N319" s="13">
        <f t="shared" si="9"/>
        <v>-79.73</v>
      </c>
      <c r="P319" s="14" t="s">
        <v>217</v>
      </c>
    </row>
    <row r="320" spans="1:16" x14ac:dyDescent="0.25">
      <c r="A320" s="1" t="s">
        <v>478</v>
      </c>
      <c r="B320" s="1" t="s">
        <v>331</v>
      </c>
      <c r="C320" t="s">
        <v>317</v>
      </c>
      <c r="E320" s="4">
        <v>46811</v>
      </c>
      <c r="F320" s="5">
        <v>-305.83</v>
      </c>
      <c r="H320"/>
      <c r="J320" s="6">
        <v>46811</v>
      </c>
      <c r="K320" s="12">
        <v>-306.99178710476042</v>
      </c>
      <c r="M320">
        <f t="shared" si="8"/>
        <v>0</v>
      </c>
      <c r="N320" s="13">
        <f t="shared" si="9"/>
        <v>1</v>
      </c>
      <c r="P320" s="14" t="s">
        <v>117</v>
      </c>
    </row>
    <row r="321" spans="1:16" x14ac:dyDescent="0.25">
      <c r="A321" s="1" t="s">
        <v>479</v>
      </c>
      <c r="B321" s="1" t="s">
        <v>58</v>
      </c>
      <c r="C321" t="s">
        <v>54</v>
      </c>
      <c r="E321" s="4">
        <v>52775</v>
      </c>
      <c r="F321" s="5">
        <v>-60.95</v>
      </c>
      <c r="H321"/>
      <c r="J321" s="6">
        <v>54419</v>
      </c>
      <c r="K321" s="12">
        <v>-35.819697178813399</v>
      </c>
      <c r="M321">
        <f t="shared" si="8"/>
        <v>-1644</v>
      </c>
      <c r="N321" s="13">
        <f t="shared" si="9"/>
        <v>0.59</v>
      </c>
      <c r="P321" s="14" t="s">
        <v>170</v>
      </c>
    </row>
    <row r="322" spans="1:16" x14ac:dyDescent="0.25">
      <c r="A322" s="1" t="s">
        <v>480</v>
      </c>
      <c r="B322" s="1" t="s">
        <v>66</v>
      </c>
      <c r="C322" t="s">
        <v>67</v>
      </c>
      <c r="E322" s="4">
        <v>46984</v>
      </c>
      <c r="F322" s="5">
        <v>-8.68</v>
      </c>
      <c r="H322"/>
      <c r="J322" s="6">
        <v>46984</v>
      </c>
      <c r="K322" s="12">
        <v>-9.1445202324746333</v>
      </c>
      <c r="M322">
        <f t="shared" ref="M322:M385" si="10">E322-J322</f>
        <v>0</v>
      </c>
      <c r="N322" s="13">
        <f t="shared" ref="N322:N385" si="11">ROUND(K322/F322,2)</f>
        <v>1.05</v>
      </c>
      <c r="P322" s="14" t="s">
        <v>117</v>
      </c>
    </row>
    <row r="323" spans="1:16" x14ac:dyDescent="0.25">
      <c r="A323" s="1" t="s">
        <v>481</v>
      </c>
      <c r="B323" s="1" t="s">
        <v>66</v>
      </c>
      <c r="C323" t="s">
        <v>67</v>
      </c>
      <c r="E323" s="4">
        <v>53342</v>
      </c>
      <c r="F323" s="5">
        <v>-97.8</v>
      </c>
      <c r="G323" s="10" t="s">
        <v>73</v>
      </c>
      <c r="H323"/>
      <c r="J323" s="6">
        <v>53342</v>
      </c>
      <c r="K323" s="12">
        <v>-98.245610006707295</v>
      </c>
      <c r="M323">
        <f t="shared" si="10"/>
        <v>0</v>
      </c>
      <c r="N323" s="13">
        <f t="shared" si="11"/>
        <v>1</v>
      </c>
      <c r="P323" s="14" t="s">
        <v>117</v>
      </c>
    </row>
    <row r="324" spans="1:16" x14ac:dyDescent="0.25">
      <c r="A324" s="1" t="s">
        <v>482</v>
      </c>
      <c r="B324" s="1" t="s">
        <v>64</v>
      </c>
      <c r="C324" s="3">
        <v>31594</v>
      </c>
      <c r="E324" s="4">
        <v>61885</v>
      </c>
      <c r="F324" s="5">
        <v>-206.07</v>
      </c>
      <c r="G324" s="10" t="s">
        <v>73</v>
      </c>
      <c r="H324"/>
      <c r="J324" s="6">
        <v>61885</v>
      </c>
      <c r="K324" s="12">
        <v>-206.5799353013127</v>
      </c>
      <c r="M324">
        <f t="shared" si="10"/>
        <v>0</v>
      </c>
      <c r="N324" s="13">
        <f t="shared" si="11"/>
        <v>1</v>
      </c>
      <c r="P324" s="14" t="s">
        <v>117</v>
      </c>
    </row>
    <row r="325" spans="1:16" x14ac:dyDescent="0.25">
      <c r="A325" s="1" t="s">
        <v>483</v>
      </c>
      <c r="B325" s="1" t="s">
        <v>66</v>
      </c>
      <c r="C325" t="s">
        <v>67</v>
      </c>
      <c r="E325" s="4">
        <v>52030</v>
      </c>
      <c r="F325" s="5">
        <v>-30.74</v>
      </c>
      <c r="H325"/>
      <c r="J325" s="6">
        <v>52030</v>
      </c>
      <c r="K325" s="12">
        <v>-31.210097502774861</v>
      </c>
      <c r="M325">
        <f t="shared" si="10"/>
        <v>0</v>
      </c>
      <c r="N325" s="13">
        <f t="shared" si="11"/>
        <v>1.02</v>
      </c>
      <c r="P325" s="14" t="s">
        <v>117</v>
      </c>
    </row>
    <row r="326" spans="1:16" x14ac:dyDescent="0.25">
      <c r="A326" s="1" t="s">
        <v>484</v>
      </c>
      <c r="B326" s="1" t="s">
        <v>69</v>
      </c>
      <c r="C326" t="s">
        <v>70</v>
      </c>
      <c r="E326" s="4">
        <v>52498</v>
      </c>
      <c r="F326" s="5">
        <v>-85.5</v>
      </c>
      <c r="H326"/>
      <c r="J326" s="6">
        <v>52498</v>
      </c>
      <c r="K326" s="12">
        <v>-93.062304192063152</v>
      </c>
      <c r="M326">
        <f t="shared" si="10"/>
        <v>0</v>
      </c>
      <c r="N326" s="13">
        <f t="shared" si="11"/>
        <v>1.0900000000000001</v>
      </c>
      <c r="P326" s="14" t="s">
        <v>117</v>
      </c>
    </row>
    <row r="327" spans="1:16" x14ac:dyDescent="0.25">
      <c r="A327" s="1" t="s">
        <v>485</v>
      </c>
      <c r="B327" s="1" t="s">
        <v>69</v>
      </c>
      <c r="C327" t="s">
        <v>70</v>
      </c>
      <c r="E327" s="4">
        <v>49810</v>
      </c>
      <c r="F327" s="5">
        <v>-195.61</v>
      </c>
      <c r="G327" s="10" t="s">
        <v>486</v>
      </c>
      <c r="H327"/>
      <c r="J327" s="6">
        <v>49810</v>
      </c>
      <c r="K327" s="12">
        <v>-196.756611817096</v>
      </c>
      <c r="M327">
        <f t="shared" si="10"/>
        <v>0</v>
      </c>
      <c r="N327" s="13">
        <f t="shared" si="11"/>
        <v>1.01</v>
      </c>
      <c r="P327" s="14" t="s">
        <v>117</v>
      </c>
    </row>
    <row r="328" spans="1:16" x14ac:dyDescent="0.25">
      <c r="A328" s="1" t="s">
        <v>487</v>
      </c>
      <c r="B328" s="1" t="s">
        <v>66</v>
      </c>
      <c r="C328" t="s">
        <v>67</v>
      </c>
      <c r="E328" s="4">
        <v>62333</v>
      </c>
      <c r="F328" s="5">
        <v>-81.290000000000006</v>
      </c>
      <c r="G328" s="10" t="s">
        <v>463</v>
      </c>
      <c r="H328"/>
      <c r="J328" s="6">
        <v>46474</v>
      </c>
      <c r="K328" s="12">
        <v>5016.1969253655616</v>
      </c>
      <c r="M328">
        <f t="shared" si="10"/>
        <v>15859</v>
      </c>
      <c r="N328" s="13">
        <f t="shared" si="11"/>
        <v>-61.71</v>
      </c>
      <c r="P328" s="14"/>
    </row>
    <row r="329" spans="1:16" x14ac:dyDescent="0.25">
      <c r="A329" s="1" t="s">
        <v>488</v>
      </c>
      <c r="B329" s="1" t="s">
        <v>58</v>
      </c>
      <c r="C329" t="s">
        <v>54</v>
      </c>
      <c r="E329" s="4">
        <v>49799</v>
      </c>
      <c r="F329" s="5">
        <v>-16.45</v>
      </c>
      <c r="G329" s="10" t="s">
        <v>463</v>
      </c>
      <c r="H329"/>
      <c r="J329" s="6">
        <v>49617</v>
      </c>
      <c r="K329" s="12">
        <v>-9.0245713962689322</v>
      </c>
      <c r="M329">
        <f t="shared" si="10"/>
        <v>182</v>
      </c>
      <c r="N329" s="13">
        <f t="shared" si="11"/>
        <v>0.55000000000000004</v>
      </c>
      <c r="P329" s="14"/>
    </row>
    <row r="330" spans="1:16" x14ac:dyDescent="0.25">
      <c r="A330" s="1" t="s">
        <v>489</v>
      </c>
      <c r="B330" s="1" t="s">
        <v>69</v>
      </c>
      <c r="C330" t="s">
        <v>70</v>
      </c>
      <c r="E330" s="4">
        <v>47347</v>
      </c>
      <c r="F330" s="5">
        <v>-23.43</v>
      </c>
      <c r="H330"/>
      <c r="J330" s="6">
        <v>47347</v>
      </c>
      <c r="K330" s="12">
        <v>-23.690361190968829</v>
      </c>
      <c r="M330">
        <f t="shared" si="10"/>
        <v>0</v>
      </c>
      <c r="N330" s="13">
        <f t="shared" si="11"/>
        <v>1.01</v>
      </c>
      <c r="P330" s="14" t="s">
        <v>117</v>
      </c>
    </row>
    <row r="331" spans="1:16" x14ac:dyDescent="0.25">
      <c r="A331" s="1" t="s">
        <v>490</v>
      </c>
      <c r="B331" s="1" t="s">
        <v>69</v>
      </c>
      <c r="C331" t="s">
        <v>70</v>
      </c>
      <c r="E331" s="4">
        <v>52343</v>
      </c>
      <c r="F331" s="5">
        <v>-244.34</v>
      </c>
      <c r="G331" s="10" t="s">
        <v>73</v>
      </c>
      <c r="H331"/>
      <c r="J331" s="6">
        <v>52343</v>
      </c>
      <c r="K331" s="12">
        <v>-246.89169881655599</v>
      </c>
      <c r="M331">
        <f t="shared" si="10"/>
        <v>0</v>
      </c>
      <c r="N331" s="13">
        <f t="shared" si="11"/>
        <v>1.01</v>
      </c>
      <c r="P331" s="14" t="s">
        <v>117</v>
      </c>
    </row>
    <row r="332" spans="1:16" x14ac:dyDescent="0.25">
      <c r="A332" s="1" t="s">
        <v>491</v>
      </c>
      <c r="B332" s="1" t="s">
        <v>66</v>
      </c>
      <c r="C332" t="s">
        <v>67</v>
      </c>
      <c r="E332" s="4">
        <v>56988</v>
      </c>
      <c r="F332" s="5">
        <v>-66.930000000000007</v>
      </c>
      <c r="H332"/>
      <c r="J332" s="6">
        <v>56988</v>
      </c>
      <c r="K332" s="12">
        <v>-67.587236503768992</v>
      </c>
      <c r="M332">
        <f t="shared" si="10"/>
        <v>0</v>
      </c>
      <c r="N332" s="13">
        <f t="shared" si="11"/>
        <v>1.01</v>
      </c>
      <c r="P332" s="14" t="s">
        <v>117</v>
      </c>
    </row>
    <row r="333" spans="1:16" x14ac:dyDescent="0.25">
      <c r="A333" s="1" t="s">
        <v>492</v>
      </c>
      <c r="B333" s="1" t="s">
        <v>66</v>
      </c>
      <c r="C333" t="s">
        <v>67</v>
      </c>
      <c r="E333" s="4">
        <v>56830</v>
      </c>
      <c r="F333" s="5">
        <v>-26.58</v>
      </c>
      <c r="G333" s="10" t="s">
        <v>73</v>
      </c>
      <c r="H333"/>
      <c r="J333" s="6">
        <v>49678</v>
      </c>
      <c r="K333" s="12">
        <v>5934.9516923328119</v>
      </c>
      <c r="M333">
        <f t="shared" si="10"/>
        <v>7152</v>
      </c>
      <c r="N333" s="13">
        <f t="shared" si="11"/>
        <v>-223.29</v>
      </c>
      <c r="P333" s="14" t="s">
        <v>217</v>
      </c>
    </row>
    <row r="334" spans="1:16" x14ac:dyDescent="0.25">
      <c r="A334" s="1" t="s">
        <v>493</v>
      </c>
      <c r="B334" s="1" t="s">
        <v>66</v>
      </c>
      <c r="C334" t="s">
        <v>67</v>
      </c>
      <c r="E334" s="4">
        <v>51536</v>
      </c>
      <c r="F334" s="5">
        <v>-30.68</v>
      </c>
      <c r="G334" s="10" t="s">
        <v>73</v>
      </c>
      <c r="H334"/>
      <c r="J334" s="6">
        <v>51536</v>
      </c>
      <c r="K334" s="12">
        <v>-30.923645523821818</v>
      </c>
      <c r="M334">
        <f t="shared" si="10"/>
        <v>0</v>
      </c>
      <c r="N334" s="13">
        <f t="shared" si="11"/>
        <v>1.01</v>
      </c>
      <c r="P334" s="14" t="s">
        <v>117</v>
      </c>
    </row>
    <row r="335" spans="1:16" x14ac:dyDescent="0.25">
      <c r="A335" s="1" t="s">
        <v>494</v>
      </c>
      <c r="B335" s="1" t="s">
        <v>66</v>
      </c>
      <c r="C335" t="s">
        <v>67</v>
      </c>
      <c r="E335" s="4">
        <v>46583</v>
      </c>
      <c r="F335" s="5">
        <v>-6.7</v>
      </c>
      <c r="H335"/>
      <c r="J335" s="6">
        <v>46583</v>
      </c>
      <c r="K335" s="12">
        <v>-6.7066414045961844</v>
      </c>
      <c r="M335">
        <f t="shared" si="10"/>
        <v>0</v>
      </c>
      <c r="N335" s="13">
        <f t="shared" si="11"/>
        <v>1</v>
      </c>
      <c r="P335" s="14" t="s">
        <v>117</v>
      </c>
    </row>
    <row r="336" spans="1:16" x14ac:dyDescent="0.25">
      <c r="A336" s="1" t="s">
        <v>495</v>
      </c>
      <c r="B336" s="1" t="s">
        <v>69</v>
      </c>
      <c r="C336" t="s">
        <v>70</v>
      </c>
      <c r="E336" s="4">
        <v>50323</v>
      </c>
      <c r="F336" s="5">
        <v>-236.54</v>
      </c>
      <c r="H336"/>
      <c r="J336" s="6">
        <v>50323</v>
      </c>
      <c r="K336" s="12">
        <v>-237.83612697130081</v>
      </c>
      <c r="M336">
        <f t="shared" si="10"/>
        <v>0</v>
      </c>
      <c r="N336" s="13">
        <f t="shared" si="11"/>
        <v>1.01</v>
      </c>
      <c r="P336" s="14" t="s">
        <v>117</v>
      </c>
    </row>
    <row r="337" spans="1:16" x14ac:dyDescent="0.25">
      <c r="A337" s="1" t="s">
        <v>496</v>
      </c>
      <c r="B337" s="1" t="s">
        <v>69</v>
      </c>
      <c r="C337" t="s">
        <v>70</v>
      </c>
      <c r="E337" s="4">
        <v>48770</v>
      </c>
      <c r="F337" s="5">
        <v>-153.53</v>
      </c>
      <c r="H337"/>
      <c r="J337" s="6">
        <v>48770</v>
      </c>
      <c r="K337" s="12">
        <v>-154.2642607623396</v>
      </c>
      <c r="M337">
        <f t="shared" si="10"/>
        <v>0</v>
      </c>
      <c r="N337" s="13">
        <f t="shared" si="11"/>
        <v>1</v>
      </c>
      <c r="P337" s="14" t="s">
        <v>117</v>
      </c>
    </row>
    <row r="338" spans="1:16" x14ac:dyDescent="0.25">
      <c r="A338" s="1" t="s">
        <v>497</v>
      </c>
      <c r="B338" s="1" t="s">
        <v>69</v>
      </c>
      <c r="C338" t="s">
        <v>70</v>
      </c>
      <c r="E338" s="4">
        <v>47355</v>
      </c>
      <c r="F338" s="5">
        <v>-182.63</v>
      </c>
      <c r="G338" s="10" t="s">
        <v>486</v>
      </c>
      <c r="H338"/>
      <c r="J338" s="6">
        <v>47416</v>
      </c>
      <c r="K338" s="12">
        <v>-18.040997850151431</v>
      </c>
      <c r="M338">
        <f t="shared" si="10"/>
        <v>-61</v>
      </c>
      <c r="N338" s="13">
        <f t="shared" si="11"/>
        <v>0.1</v>
      </c>
      <c r="P338" s="14" t="s">
        <v>170</v>
      </c>
    </row>
    <row r="339" spans="1:16" x14ac:dyDescent="0.25">
      <c r="A339" s="1" t="s">
        <v>498</v>
      </c>
      <c r="B339" s="1" t="s">
        <v>66</v>
      </c>
      <c r="C339" t="s">
        <v>67</v>
      </c>
      <c r="E339" s="4">
        <v>51063</v>
      </c>
      <c r="F339" s="5">
        <v>-99.86</v>
      </c>
      <c r="H339"/>
      <c r="J339" s="6">
        <v>51063</v>
      </c>
      <c r="K339" s="12">
        <v>-100.935145432277</v>
      </c>
      <c r="M339">
        <f t="shared" si="10"/>
        <v>0</v>
      </c>
      <c r="N339" s="13">
        <f t="shared" si="11"/>
        <v>1.01</v>
      </c>
      <c r="P339" s="14" t="s">
        <v>117</v>
      </c>
    </row>
    <row r="340" spans="1:16" x14ac:dyDescent="0.25">
      <c r="A340" s="1" t="s">
        <v>499</v>
      </c>
      <c r="B340" s="1" t="s">
        <v>66</v>
      </c>
      <c r="C340" t="s">
        <v>67</v>
      </c>
      <c r="E340" s="4">
        <v>56099</v>
      </c>
      <c r="F340" s="5">
        <v>-16.420000000000002</v>
      </c>
      <c r="G340" s="10" t="s">
        <v>73</v>
      </c>
      <c r="H340"/>
      <c r="J340" s="6">
        <v>56099</v>
      </c>
      <c r="K340" s="12">
        <v>-19.457267912917018</v>
      </c>
      <c r="M340">
        <f t="shared" si="10"/>
        <v>0</v>
      </c>
      <c r="N340" s="13">
        <f t="shared" si="11"/>
        <v>1.18</v>
      </c>
      <c r="P340" s="14" t="s">
        <v>117</v>
      </c>
    </row>
    <row r="341" spans="1:16" x14ac:dyDescent="0.25">
      <c r="A341" s="1" t="s">
        <v>500</v>
      </c>
      <c r="B341" s="1" t="s">
        <v>69</v>
      </c>
      <c r="C341" t="s">
        <v>70</v>
      </c>
      <c r="E341" s="4">
        <v>50357</v>
      </c>
      <c r="F341" s="5">
        <v>-291.83999999999997</v>
      </c>
      <c r="H341"/>
      <c r="J341" s="6">
        <v>50357</v>
      </c>
      <c r="K341" s="12">
        <v>-292.78627804602291</v>
      </c>
      <c r="M341">
        <f t="shared" si="10"/>
        <v>0</v>
      </c>
      <c r="N341" s="13">
        <f t="shared" si="11"/>
        <v>1</v>
      </c>
      <c r="P341" s="14" t="s">
        <v>117</v>
      </c>
    </row>
    <row r="342" spans="1:16" x14ac:dyDescent="0.25">
      <c r="A342" s="1" t="s">
        <v>501</v>
      </c>
      <c r="B342" s="1" t="s">
        <v>66</v>
      </c>
      <c r="C342" t="s">
        <v>67</v>
      </c>
      <c r="E342" s="4">
        <v>51254</v>
      </c>
      <c r="F342" s="5">
        <v>-77.13</v>
      </c>
      <c r="H342"/>
      <c r="J342" s="6">
        <v>51254</v>
      </c>
      <c r="K342" s="12">
        <v>-78.576876539678665</v>
      </c>
      <c r="M342">
        <f t="shared" si="10"/>
        <v>0</v>
      </c>
      <c r="N342" s="13">
        <f t="shared" si="11"/>
        <v>1.02</v>
      </c>
      <c r="P342" s="14" t="s">
        <v>117</v>
      </c>
    </row>
    <row r="343" spans="1:16" x14ac:dyDescent="0.25">
      <c r="A343" s="1" t="s">
        <v>502</v>
      </c>
      <c r="B343" s="1" t="s">
        <v>69</v>
      </c>
      <c r="C343" t="s">
        <v>70</v>
      </c>
      <c r="E343" s="4">
        <v>51008</v>
      </c>
      <c r="F343" s="5">
        <v>-64.209999999999994</v>
      </c>
      <c r="G343" s="10" t="s">
        <v>503</v>
      </c>
      <c r="H343"/>
      <c r="J343" s="6">
        <v>51008</v>
      </c>
      <c r="K343" s="12">
        <v>-70.102623872841832</v>
      </c>
      <c r="M343">
        <f t="shared" si="10"/>
        <v>0</v>
      </c>
      <c r="N343" s="13">
        <f t="shared" si="11"/>
        <v>1.0900000000000001</v>
      </c>
      <c r="P343" s="14" t="s">
        <v>117</v>
      </c>
    </row>
    <row r="344" spans="1:16" x14ac:dyDescent="0.25">
      <c r="A344" s="1" t="s">
        <v>504</v>
      </c>
      <c r="B344" s="1" t="s">
        <v>69</v>
      </c>
      <c r="C344" t="s">
        <v>70</v>
      </c>
      <c r="E344" s="4">
        <v>47964</v>
      </c>
      <c r="F344" s="5">
        <v>-41.42</v>
      </c>
      <c r="G344" s="10" t="s">
        <v>486</v>
      </c>
      <c r="H344"/>
      <c r="J344" s="6">
        <v>47964</v>
      </c>
      <c r="K344" s="12">
        <v>-41.99671714578362</v>
      </c>
      <c r="M344">
        <f t="shared" si="10"/>
        <v>0</v>
      </c>
      <c r="N344" s="13">
        <f t="shared" si="11"/>
        <v>1.01</v>
      </c>
      <c r="P344" s="14" t="s">
        <v>117</v>
      </c>
    </row>
    <row r="345" spans="1:16" x14ac:dyDescent="0.25">
      <c r="A345" s="1" t="s">
        <v>65</v>
      </c>
      <c r="B345" s="1" t="s">
        <v>66</v>
      </c>
      <c r="C345" t="s">
        <v>67</v>
      </c>
      <c r="E345" s="4">
        <v>55244</v>
      </c>
      <c r="F345" s="5">
        <v>373641.59</v>
      </c>
      <c r="H345"/>
      <c r="J345" s="6">
        <v>55244</v>
      </c>
      <c r="K345" s="12">
        <v>371604.89444077882</v>
      </c>
      <c r="M345">
        <f t="shared" si="10"/>
        <v>0</v>
      </c>
      <c r="N345" s="13">
        <f t="shared" si="11"/>
        <v>0.99</v>
      </c>
      <c r="P345" s="14" t="s">
        <v>117</v>
      </c>
    </row>
    <row r="346" spans="1:16" x14ac:dyDescent="0.25">
      <c r="A346" s="1" t="s">
        <v>505</v>
      </c>
      <c r="B346" s="1" t="s">
        <v>69</v>
      </c>
      <c r="C346" t="s">
        <v>70</v>
      </c>
      <c r="E346" s="4">
        <v>46410</v>
      </c>
      <c r="F346" s="5">
        <v>-60.77</v>
      </c>
      <c r="H346"/>
      <c r="J346" s="6">
        <v>46410</v>
      </c>
      <c r="K346" s="12">
        <v>-60.835879424469773</v>
      </c>
      <c r="M346">
        <f t="shared" si="10"/>
        <v>0</v>
      </c>
      <c r="N346" s="13">
        <f t="shared" si="11"/>
        <v>1</v>
      </c>
      <c r="P346" s="14" t="s">
        <v>117</v>
      </c>
    </row>
    <row r="347" spans="1:16" x14ac:dyDescent="0.25">
      <c r="A347" s="1" t="s">
        <v>506</v>
      </c>
      <c r="B347" s="1" t="s">
        <v>66</v>
      </c>
      <c r="C347" t="s">
        <v>67</v>
      </c>
      <c r="E347" s="4">
        <v>56086</v>
      </c>
      <c r="F347" s="5">
        <v>-84.29</v>
      </c>
      <c r="H347"/>
      <c r="J347" s="6">
        <v>56086</v>
      </c>
      <c r="K347" s="12">
        <v>-85.759471184803374</v>
      </c>
      <c r="M347">
        <f t="shared" si="10"/>
        <v>0</v>
      </c>
      <c r="N347" s="13">
        <f t="shared" si="11"/>
        <v>1.02</v>
      </c>
      <c r="P347" s="14" t="s">
        <v>117</v>
      </c>
    </row>
    <row r="348" spans="1:16" x14ac:dyDescent="0.25">
      <c r="A348" s="1" t="s">
        <v>507</v>
      </c>
      <c r="B348" s="1" t="s">
        <v>66</v>
      </c>
      <c r="C348" t="s">
        <v>67</v>
      </c>
      <c r="E348" s="4">
        <v>64376</v>
      </c>
      <c r="F348" s="5">
        <v>11136.64</v>
      </c>
      <c r="H348"/>
      <c r="J348" s="6">
        <v>46600</v>
      </c>
      <c r="K348" s="12">
        <v>3146.6151000475211</v>
      </c>
      <c r="M348">
        <f t="shared" si="10"/>
        <v>17776</v>
      </c>
      <c r="N348" s="13">
        <f t="shared" si="11"/>
        <v>0.28000000000000003</v>
      </c>
      <c r="P348" s="14" t="s">
        <v>217</v>
      </c>
    </row>
    <row r="349" spans="1:16" x14ac:dyDescent="0.25">
      <c r="A349" s="1" t="s">
        <v>508</v>
      </c>
      <c r="B349" s="1" t="s">
        <v>66</v>
      </c>
      <c r="C349" t="s">
        <v>67</v>
      </c>
      <c r="E349" s="4">
        <v>48568</v>
      </c>
      <c r="F349" s="5">
        <v>-205.21</v>
      </c>
      <c r="G349" s="10" t="s">
        <v>509</v>
      </c>
      <c r="H349"/>
      <c r="J349" s="6">
        <v>48568</v>
      </c>
      <c r="K349" s="12">
        <v>-207.01585725369861</v>
      </c>
      <c r="M349">
        <f t="shared" si="10"/>
        <v>0</v>
      </c>
      <c r="N349" s="13">
        <f t="shared" si="11"/>
        <v>1.01</v>
      </c>
      <c r="P349" s="14" t="s">
        <v>117</v>
      </c>
    </row>
    <row r="350" spans="1:16" x14ac:dyDescent="0.25">
      <c r="A350" s="1" t="s">
        <v>510</v>
      </c>
      <c r="B350" s="1" t="s">
        <v>66</v>
      </c>
      <c r="C350" t="s">
        <v>67</v>
      </c>
      <c r="E350" s="4">
        <v>47175</v>
      </c>
      <c r="F350" s="5">
        <v>-21.36</v>
      </c>
      <c r="G350" s="10" t="s">
        <v>82</v>
      </c>
      <c r="H350"/>
      <c r="J350" s="6">
        <v>47175</v>
      </c>
      <c r="K350" s="12">
        <v>-21.39443692179697</v>
      </c>
      <c r="M350">
        <f t="shared" si="10"/>
        <v>0</v>
      </c>
      <c r="N350" s="13">
        <f t="shared" si="11"/>
        <v>1</v>
      </c>
      <c r="P350" s="14" t="s">
        <v>117</v>
      </c>
    </row>
    <row r="351" spans="1:16" x14ac:dyDescent="0.25">
      <c r="A351" s="1" t="s">
        <v>511</v>
      </c>
      <c r="B351" s="1" t="s">
        <v>66</v>
      </c>
      <c r="C351" t="s">
        <v>67</v>
      </c>
      <c r="E351" s="4">
        <v>46670</v>
      </c>
      <c r="F351" s="5">
        <v>-25.32</v>
      </c>
      <c r="G351" s="10" t="s">
        <v>512</v>
      </c>
      <c r="H351"/>
      <c r="J351" s="6">
        <v>46670</v>
      </c>
      <c r="K351" s="12">
        <v>-25.35922248914488</v>
      </c>
      <c r="M351">
        <f t="shared" si="10"/>
        <v>0</v>
      </c>
      <c r="N351" s="13">
        <f t="shared" si="11"/>
        <v>1</v>
      </c>
      <c r="P351" s="14" t="s">
        <v>117</v>
      </c>
    </row>
    <row r="352" spans="1:16" x14ac:dyDescent="0.25">
      <c r="A352" s="1" t="s">
        <v>513</v>
      </c>
      <c r="B352" s="1" t="s">
        <v>66</v>
      </c>
      <c r="C352" t="s">
        <v>67</v>
      </c>
      <c r="E352" s="4">
        <v>48272</v>
      </c>
      <c r="F352" s="5">
        <v>-8.82</v>
      </c>
      <c r="H352"/>
      <c r="J352" s="6">
        <v>48272</v>
      </c>
      <c r="K352" s="12">
        <v>-9.0063631109116216</v>
      </c>
      <c r="M352">
        <f t="shared" si="10"/>
        <v>0</v>
      </c>
      <c r="N352" s="13">
        <f t="shared" si="11"/>
        <v>1.02</v>
      </c>
      <c r="P352" s="14" t="s">
        <v>117</v>
      </c>
    </row>
    <row r="353" spans="1:17" x14ac:dyDescent="0.25">
      <c r="A353" s="1" t="s">
        <v>514</v>
      </c>
      <c r="B353" s="1" t="s">
        <v>66</v>
      </c>
      <c r="C353" t="s">
        <v>67</v>
      </c>
      <c r="E353" s="4">
        <v>54789</v>
      </c>
      <c r="F353" s="5">
        <v>-131.43</v>
      </c>
      <c r="H353"/>
      <c r="J353" s="6">
        <v>46327</v>
      </c>
      <c r="K353" s="12">
        <v>3314.6469614634379</v>
      </c>
      <c r="M353">
        <f t="shared" si="10"/>
        <v>8462</v>
      </c>
      <c r="N353" s="13">
        <f t="shared" si="11"/>
        <v>-25.22</v>
      </c>
      <c r="P353" s="14" t="s">
        <v>217</v>
      </c>
    </row>
    <row r="354" spans="1:17" x14ac:dyDescent="0.25">
      <c r="A354" s="1" t="s">
        <v>515</v>
      </c>
      <c r="B354" s="1" t="s">
        <v>69</v>
      </c>
      <c r="C354" t="s">
        <v>70</v>
      </c>
      <c r="E354" s="4">
        <v>51793</v>
      </c>
      <c r="F354" s="5">
        <v>-148.31</v>
      </c>
      <c r="H354"/>
      <c r="J354" s="6">
        <v>51793</v>
      </c>
      <c r="K354" s="12">
        <v>-150.11139084391701</v>
      </c>
      <c r="M354">
        <f t="shared" si="10"/>
        <v>0</v>
      </c>
      <c r="N354" s="13">
        <f t="shared" si="11"/>
        <v>1.01</v>
      </c>
      <c r="P354" s="14" t="s">
        <v>117</v>
      </c>
    </row>
    <row r="355" spans="1:17" x14ac:dyDescent="0.25">
      <c r="A355" s="1" t="s">
        <v>516</v>
      </c>
      <c r="B355" s="1" t="s">
        <v>66</v>
      </c>
      <c r="C355" t="s">
        <v>67</v>
      </c>
      <c r="E355" s="4">
        <v>54430</v>
      </c>
      <c r="F355" s="5">
        <v>-35.119999999999997</v>
      </c>
      <c r="H355"/>
      <c r="J355" s="6">
        <v>54430</v>
      </c>
      <c r="K355" s="12">
        <v>-35.941853317408153</v>
      </c>
      <c r="M355">
        <f t="shared" si="10"/>
        <v>0</v>
      </c>
      <c r="N355" s="13">
        <f t="shared" si="11"/>
        <v>1.02</v>
      </c>
      <c r="P355" s="14" t="s">
        <v>117</v>
      </c>
    </row>
    <row r="356" spans="1:17" x14ac:dyDescent="0.25">
      <c r="A356" s="1" t="s">
        <v>517</v>
      </c>
      <c r="B356" s="1" t="s">
        <v>66</v>
      </c>
      <c r="C356" t="s">
        <v>67</v>
      </c>
      <c r="E356" s="4">
        <v>50399</v>
      </c>
      <c r="F356" s="5">
        <v>-281.02999999999997</v>
      </c>
      <c r="H356"/>
      <c r="J356" s="6">
        <v>50399</v>
      </c>
      <c r="K356" s="12">
        <v>-281.99168272848448</v>
      </c>
      <c r="M356">
        <f t="shared" si="10"/>
        <v>0</v>
      </c>
      <c r="N356" s="13">
        <f t="shared" si="11"/>
        <v>1</v>
      </c>
      <c r="P356" s="14" t="s">
        <v>117</v>
      </c>
    </row>
    <row r="357" spans="1:17" x14ac:dyDescent="0.25">
      <c r="A357" s="1" t="s">
        <v>518</v>
      </c>
      <c r="B357" s="1" t="s">
        <v>66</v>
      </c>
      <c r="C357" t="s">
        <v>67</v>
      </c>
      <c r="E357" s="4">
        <v>50241</v>
      </c>
      <c r="F357" s="5">
        <v>-224.91</v>
      </c>
      <c r="H357"/>
      <c r="J357" s="6">
        <v>50241</v>
      </c>
      <c r="K357" s="12">
        <v>-227.54369320136851</v>
      </c>
      <c r="M357">
        <f t="shared" si="10"/>
        <v>0</v>
      </c>
      <c r="N357" s="13">
        <f t="shared" si="11"/>
        <v>1.01</v>
      </c>
      <c r="P357" s="14" t="s">
        <v>117</v>
      </c>
    </row>
    <row r="358" spans="1:17" x14ac:dyDescent="0.25">
      <c r="A358" s="1" t="s">
        <v>519</v>
      </c>
      <c r="B358" s="1" t="s">
        <v>69</v>
      </c>
      <c r="C358" t="s">
        <v>70</v>
      </c>
      <c r="E358" s="4">
        <v>48702</v>
      </c>
      <c r="F358" s="5">
        <v>-58.15</v>
      </c>
      <c r="G358" s="10" t="s">
        <v>520</v>
      </c>
      <c r="H358"/>
      <c r="J358" s="6">
        <v>48702</v>
      </c>
      <c r="K358" s="12">
        <v>-58.683250138563778</v>
      </c>
      <c r="M358">
        <f t="shared" si="10"/>
        <v>0</v>
      </c>
      <c r="N358" s="13">
        <f t="shared" si="11"/>
        <v>1.01</v>
      </c>
      <c r="P358" s="14" t="s">
        <v>117</v>
      </c>
    </row>
    <row r="359" spans="1:17" x14ac:dyDescent="0.25">
      <c r="A359" s="1" t="s">
        <v>521</v>
      </c>
      <c r="B359" s="1" t="s">
        <v>66</v>
      </c>
      <c r="C359" t="s">
        <v>67</v>
      </c>
      <c r="E359" s="4">
        <v>47033</v>
      </c>
      <c r="F359" s="5">
        <v>-0.28000000000000003</v>
      </c>
      <c r="H359"/>
      <c r="J359" s="6">
        <v>47033</v>
      </c>
      <c r="K359" s="12">
        <v>-0.28788182594330181</v>
      </c>
      <c r="M359">
        <f t="shared" si="10"/>
        <v>0</v>
      </c>
      <c r="N359" s="13">
        <f t="shared" si="11"/>
        <v>1.03</v>
      </c>
      <c r="P359" s="14" t="s">
        <v>117</v>
      </c>
    </row>
    <row r="360" spans="1:17" x14ac:dyDescent="0.25">
      <c r="A360" s="1" t="s">
        <v>522</v>
      </c>
      <c r="B360" s="1" t="s">
        <v>66</v>
      </c>
      <c r="C360" t="s">
        <v>67</v>
      </c>
      <c r="E360" s="4">
        <v>49404</v>
      </c>
      <c r="F360" s="5">
        <v>-183.89</v>
      </c>
      <c r="H360"/>
      <c r="J360" s="6">
        <v>49404</v>
      </c>
      <c r="K360" s="12">
        <v>-184.42482056930891</v>
      </c>
      <c r="M360">
        <f t="shared" si="10"/>
        <v>0</v>
      </c>
      <c r="N360" s="13">
        <f t="shared" si="11"/>
        <v>1</v>
      </c>
      <c r="P360" s="14" t="s">
        <v>117</v>
      </c>
    </row>
    <row r="361" spans="1:17" x14ac:dyDescent="0.25">
      <c r="A361" s="1" t="s">
        <v>523</v>
      </c>
      <c r="B361" s="1" t="s">
        <v>69</v>
      </c>
      <c r="C361" t="s">
        <v>70</v>
      </c>
      <c r="E361" s="4">
        <v>49963</v>
      </c>
      <c r="F361" s="5">
        <v>-307.18</v>
      </c>
      <c r="H361"/>
      <c r="J361" s="6">
        <v>49963</v>
      </c>
      <c r="K361" s="12">
        <v>-306.33620617507512</v>
      </c>
      <c r="M361">
        <f t="shared" si="10"/>
        <v>0</v>
      </c>
      <c r="N361" s="13">
        <f t="shared" si="11"/>
        <v>1</v>
      </c>
      <c r="P361" s="14" t="s">
        <v>117</v>
      </c>
    </row>
    <row r="362" spans="1:17" x14ac:dyDescent="0.25">
      <c r="A362" s="1" t="s">
        <v>524</v>
      </c>
      <c r="B362" s="1" t="s">
        <v>69</v>
      </c>
      <c r="C362" t="s">
        <v>70</v>
      </c>
      <c r="E362" s="4">
        <v>51676</v>
      </c>
      <c r="F362" s="5">
        <v>-251.52</v>
      </c>
      <c r="H362"/>
      <c r="J362" s="6">
        <v>51676</v>
      </c>
      <c r="K362" s="12">
        <v>-253.5980117095915</v>
      </c>
      <c r="M362">
        <f t="shared" si="10"/>
        <v>0</v>
      </c>
      <c r="N362" s="13">
        <f t="shared" si="11"/>
        <v>1.01</v>
      </c>
      <c r="P362" s="14" t="s">
        <v>117</v>
      </c>
    </row>
    <row r="363" spans="1:17" x14ac:dyDescent="0.25">
      <c r="A363" s="1" t="s">
        <v>525</v>
      </c>
      <c r="B363" s="1" t="s">
        <v>69</v>
      </c>
      <c r="C363" t="s">
        <v>70</v>
      </c>
      <c r="E363" s="4">
        <v>46281</v>
      </c>
      <c r="F363" s="5">
        <v>-2</v>
      </c>
      <c r="H363"/>
      <c r="J363" s="6">
        <v>46281</v>
      </c>
      <c r="K363" s="12">
        <v>-2.0163626922470139</v>
      </c>
      <c r="M363">
        <f t="shared" si="10"/>
        <v>0</v>
      </c>
      <c r="N363" s="13">
        <f t="shared" si="11"/>
        <v>1.01</v>
      </c>
      <c r="P363" s="14" t="s">
        <v>117</v>
      </c>
    </row>
    <row r="364" spans="1:17" x14ac:dyDescent="0.25">
      <c r="A364" s="1" t="s">
        <v>526</v>
      </c>
      <c r="B364" s="1" t="s">
        <v>66</v>
      </c>
      <c r="C364" t="s">
        <v>67</v>
      </c>
      <c r="E364" s="4">
        <v>48221</v>
      </c>
      <c r="F364" s="5">
        <v>-36.770000000000003</v>
      </c>
      <c r="H364"/>
      <c r="J364" s="6">
        <v>48221</v>
      </c>
      <c r="K364" s="12">
        <v>-36.950067146483491</v>
      </c>
      <c r="M364">
        <f t="shared" si="10"/>
        <v>0</v>
      </c>
      <c r="N364" s="13">
        <f t="shared" si="11"/>
        <v>1</v>
      </c>
      <c r="P364" s="14" t="s">
        <v>117</v>
      </c>
    </row>
    <row r="365" spans="1:17" x14ac:dyDescent="0.25">
      <c r="A365" s="1" t="s">
        <v>527</v>
      </c>
      <c r="B365" s="1" t="s">
        <v>69</v>
      </c>
      <c r="C365" t="s">
        <v>70</v>
      </c>
      <c r="E365" s="4">
        <v>53816</v>
      </c>
      <c r="F365" s="5">
        <v>-188.89</v>
      </c>
      <c r="H365"/>
      <c r="J365" s="6">
        <v>53816</v>
      </c>
      <c r="K365" s="12">
        <v>-191.95749082758229</v>
      </c>
      <c r="M365">
        <f t="shared" si="10"/>
        <v>0</v>
      </c>
      <c r="N365" s="13">
        <f t="shared" si="11"/>
        <v>1.02</v>
      </c>
      <c r="P365" s="14" t="s">
        <v>117</v>
      </c>
    </row>
    <row r="366" spans="1:17" x14ac:dyDescent="0.25">
      <c r="A366" s="1" t="s">
        <v>68</v>
      </c>
      <c r="B366" s="1" t="s">
        <v>69</v>
      </c>
      <c r="C366" t="s">
        <v>70</v>
      </c>
      <c r="E366" s="4">
        <v>55326</v>
      </c>
      <c r="F366" s="5">
        <v>-363.55</v>
      </c>
      <c r="G366" s="10" t="s">
        <v>71</v>
      </c>
      <c r="H366"/>
      <c r="J366" s="6">
        <v>55906</v>
      </c>
      <c r="K366" s="12">
        <v>-444.40433428840163</v>
      </c>
      <c r="M366">
        <f t="shared" si="10"/>
        <v>-580</v>
      </c>
      <c r="N366" s="13">
        <f t="shared" si="11"/>
        <v>1.22</v>
      </c>
      <c r="P366" s="14" t="s">
        <v>161</v>
      </c>
      <c r="Q366" t="s">
        <v>528</v>
      </c>
    </row>
    <row r="367" spans="1:17" x14ac:dyDescent="0.25">
      <c r="A367" s="1" t="s">
        <v>529</v>
      </c>
      <c r="B367" s="1" t="s">
        <v>69</v>
      </c>
      <c r="C367" t="s">
        <v>70</v>
      </c>
      <c r="E367" s="4">
        <v>47811</v>
      </c>
      <c r="F367" s="5">
        <v>-95.26</v>
      </c>
      <c r="H367"/>
      <c r="J367" s="6">
        <v>47811</v>
      </c>
      <c r="K367" s="12">
        <v>-95.817115571518571</v>
      </c>
      <c r="M367">
        <f t="shared" si="10"/>
        <v>0</v>
      </c>
      <c r="N367" s="13">
        <f t="shared" si="11"/>
        <v>1.01</v>
      </c>
      <c r="P367" s="14" t="s">
        <v>117</v>
      </c>
    </row>
    <row r="368" spans="1:17" x14ac:dyDescent="0.25">
      <c r="A368" s="1" t="s">
        <v>530</v>
      </c>
      <c r="B368" s="1" t="s">
        <v>69</v>
      </c>
      <c r="C368" t="s">
        <v>70</v>
      </c>
      <c r="E368" s="4">
        <v>48396</v>
      </c>
      <c r="F368" s="5">
        <v>-77.69</v>
      </c>
      <c r="G368" s="10" t="s">
        <v>520</v>
      </c>
      <c r="H368"/>
      <c r="J368" s="6">
        <v>48396</v>
      </c>
      <c r="K368" s="12">
        <v>-77.876618743290464</v>
      </c>
      <c r="M368">
        <f t="shared" si="10"/>
        <v>0</v>
      </c>
      <c r="N368" s="13">
        <f t="shared" si="11"/>
        <v>1</v>
      </c>
      <c r="P368" s="14" t="s">
        <v>117</v>
      </c>
    </row>
    <row r="369" spans="1:16" x14ac:dyDescent="0.25">
      <c r="A369" s="1" t="s">
        <v>531</v>
      </c>
      <c r="B369" s="1" t="s">
        <v>69</v>
      </c>
      <c r="C369" t="s">
        <v>70</v>
      </c>
      <c r="E369" s="4">
        <v>48141</v>
      </c>
      <c r="F369" s="5">
        <v>-82.78</v>
      </c>
      <c r="H369"/>
      <c r="J369" s="6">
        <v>48141</v>
      </c>
      <c r="K369" s="12">
        <v>-83.602998084269473</v>
      </c>
      <c r="M369">
        <f t="shared" si="10"/>
        <v>0</v>
      </c>
      <c r="N369" s="13">
        <f t="shared" si="11"/>
        <v>1.01</v>
      </c>
      <c r="P369" s="14" t="s">
        <v>117</v>
      </c>
    </row>
    <row r="370" spans="1:16" x14ac:dyDescent="0.25">
      <c r="A370" s="1" t="s">
        <v>532</v>
      </c>
      <c r="B370" s="1" t="s">
        <v>66</v>
      </c>
      <c r="C370" t="s">
        <v>67</v>
      </c>
      <c r="E370" s="4">
        <v>57090</v>
      </c>
      <c r="F370" s="5">
        <v>-19.579999999999998</v>
      </c>
      <c r="H370"/>
      <c r="J370" s="6">
        <v>57090</v>
      </c>
      <c r="K370" s="12">
        <v>-19.893124074328391</v>
      </c>
      <c r="M370">
        <f t="shared" si="10"/>
        <v>0</v>
      </c>
      <c r="N370" s="13">
        <f t="shared" si="11"/>
        <v>1.02</v>
      </c>
      <c r="P370" s="14" t="s">
        <v>117</v>
      </c>
    </row>
    <row r="371" spans="1:16" x14ac:dyDescent="0.25">
      <c r="A371" s="1" t="s">
        <v>533</v>
      </c>
      <c r="B371" s="1" t="s">
        <v>69</v>
      </c>
      <c r="C371" t="s">
        <v>70</v>
      </c>
      <c r="E371" s="4">
        <v>53766</v>
      </c>
      <c r="F371" s="5">
        <v>-545.38</v>
      </c>
      <c r="H371"/>
      <c r="J371" s="6">
        <v>53766</v>
      </c>
      <c r="K371" s="12">
        <v>-548.00115387442816</v>
      </c>
      <c r="M371">
        <f t="shared" si="10"/>
        <v>0</v>
      </c>
      <c r="N371" s="13">
        <f t="shared" si="11"/>
        <v>1</v>
      </c>
      <c r="P371" s="14" t="s">
        <v>117</v>
      </c>
    </row>
    <row r="372" spans="1:16" x14ac:dyDescent="0.25">
      <c r="A372" s="1" t="s">
        <v>534</v>
      </c>
      <c r="B372" s="1" t="s">
        <v>66</v>
      </c>
      <c r="C372" t="s">
        <v>67</v>
      </c>
      <c r="E372" s="4">
        <v>49038</v>
      </c>
      <c r="F372" s="5">
        <v>-96.41</v>
      </c>
      <c r="H372"/>
      <c r="J372" s="6">
        <v>46572</v>
      </c>
      <c r="K372" s="12">
        <v>5227.4621887534622</v>
      </c>
      <c r="M372">
        <f t="shared" si="10"/>
        <v>2466</v>
      </c>
      <c r="N372" s="13">
        <f t="shared" si="11"/>
        <v>-54.22</v>
      </c>
      <c r="P372" s="14" t="s">
        <v>217</v>
      </c>
    </row>
    <row r="373" spans="1:16" x14ac:dyDescent="0.25">
      <c r="A373" s="1" t="s">
        <v>535</v>
      </c>
      <c r="B373" s="1" t="s">
        <v>69</v>
      </c>
      <c r="C373" t="s">
        <v>70</v>
      </c>
      <c r="E373" s="4">
        <v>49252</v>
      </c>
      <c r="F373" s="5">
        <v>-48.84</v>
      </c>
      <c r="G373" s="10" t="s">
        <v>73</v>
      </c>
      <c r="H373"/>
      <c r="J373" s="6">
        <v>49252</v>
      </c>
      <c r="K373" s="12">
        <v>-49.06552388385245</v>
      </c>
      <c r="M373">
        <f t="shared" si="10"/>
        <v>0</v>
      </c>
      <c r="N373" s="13">
        <f t="shared" si="11"/>
        <v>1</v>
      </c>
      <c r="P373" s="14" t="s">
        <v>117</v>
      </c>
    </row>
    <row r="374" spans="1:16" x14ac:dyDescent="0.25">
      <c r="A374" s="1" t="s">
        <v>536</v>
      </c>
      <c r="B374" s="1" t="s">
        <v>66</v>
      </c>
      <c r="C374" t="s">
        <v>67</v>
      </c>
      <c r="E374" s="4">
        <v>52204</v>
      </c>
      <c r="F374" s="5">
        <v>-64.84</v>
      </c>
      <c r="G374" s="10" t="s">
        <v>73</v>
      </c>
      <c r="H374"/>
      <c r="J374" s="6">
        <v>52204</v>
      </c>
      <c r="K374" s="12">
        <v>-65.058445123648227</v>
      </c>
      <c r="M374">
        <f t="shared" si="10"/>
        <v>0</v>
      </c>
      <c r="N374" s="13">
        <f t="shared" si="11"/>
        <v>1</v>
      </c>
      <c r="P374" s="14" t="s">
        <v>117</v>
      </c>
    </row>
    <row r="375" spans="1:16" x14ac:dyDescent="0.25">
      <c r="A375" s="1" t="s">
        <v>537</v>
      </c>
      <c r="B375" s="1" t="s">
        <v>66</v>
      </c>
      <c r="C375" t="s">
        <v>67</v>
      </c>
      <c r="E375" s="4">
        <v>54813</v>
      </c>
      <c r="F375" s="5">
        <v>-32.18</v>
      </c>
      <c r="H375"/>
      <c r="J375" s="6">
        <v>56090</v>
      </c>
      <c r="K375" s="12">
        <v>-485.54197895042012</v>
      </c>
      <c r="M375">
        <f t="shared" si="10"/>
        <v>-1277</v>
      </c>
      <c r="N375" s="13">
        <f t="shared" si="11"/>
        <v>15.09</v>
      </c>
      <c r="P375" s="14" t="s">
        <v>170</v>
      </c>
    </row>
    <row r="376" spans="1:16" x14ac:dyDescent="0.25">
      <c r="A376" s="1" t="s">
        <v>538</v>
      </c>
      <c r="B376" s="1" t="s">
        <v>66</v>
      </c>
      <c r="C376" t="s">
        <v>67</v>
      </c>
      <c r="E376" s="4">
        <v>53087</v>
      </c>
      <c r="F376" s="5">
        <v>-147.49</v>
      </c>
      <c r="H376"/>
      <c r="J376" s="6">
        <v>53087</v>
      </c>
      <c r="K376" s="12">
        <v>-148.44859094149459</v>
      </c>
      <c r="M376">
        <f t="shared" si="10"/>
        <v>0</v>
      </c>
      <c r="N376" s="13">
        <f t="shared" si="11"/>
        <v>1.01</v>
      </c>
      <c r="P376" s="14" t="s">
        <v>117</v>
      </c>
    </row>
    <row r="377" spans="1:16" x14ac:dyDescent="0.25">
      <c r="A377" s="1" t="s">
        <v>539</v>
      </c>
      <c r="B377" s="1" t="s">
        <v>66</v>
      </c>
      <c r="C377" t="s">
        <v>67</v>
      </c>
      <c r="E377" s="4">
        <v>50180</v>
      </c>
      <c r="F377" s="5">
        <v>-48.51</v>
      </c>
      <c r="H377"/>
      <c r="J377" s="6">
        <v>47411</v>
      </c>
      <c r="K377" s="12">
        <v>2425.0569984841918</v>
      </c>
      <c r="M377">
        <f t="shared" si="10"/>
        <v>2769</v>
      </c>
      <c r="N377" s="13">
        <f t="shared" si="11"/>
        <v>-49.99</v>
      </c>
      <c r="P377" s="14" t="s">
        <v>117</v>
      </c>
    </row>
    <row r="378" spans="1:16" x14ac:dyDescent="0.25">
      <c r="A378" s="1" t="s">
        <v>72</v>
      </c>
      <c r="B378" s="1" t="s">
        <v>66</v>
      </c>
      <c r="C378" t="s">
        <v>67</v>
      </c>
      <c r="E378" s="4">
        <v>64120</v>
      </c>
      <c r="F378" s="5">
        <v>21832.71</v>
      </c>
      <c r="G378" s="10" t="s">
        <v>73</v>
      </c>
      <c r="H378"/>
      <c r="J378" s="6">
        <v>53528</v>
      </c>
      <c r="K378" s="12">
        <v>8503.0650769175081</v>
      </c>
      <c r="M378">
        <f t="shared" si="10"/>
        <v>10592</v>
      </c>
      <c r="N378" s="13">
        <f t="shared" si="11"/>
        <v>0.39</v>
      </c>
      <c r="P378" s="14" t="s">
        <v>217</v>
      </c>
    </row>
    <row r="379" spans="1:16" x14ac:dyDescent="0.25">
      <c r="A379" s="1" t="s">
        <v>540</v>
      </c>
      <c r="B379" s="1" t="s">
        <v>69</v>
      </c>
      <c r="C379" t="s">
        <v>70</v>
      </c>
      <c r="E379" s="4">
        <v>51498</v>
      </c>
      <c r="F379" s="5">
        <v>-177.24</v>
      </c>
      <c r="H379"/>
      <c r="J379" s="6">
        <v>51498</v>
      </c>
      <c r="K379" s="12">
        <v>-179.99351433209461</v>
      </c>
      <c r="M379">
        <f t="shared" si="10"/>
        <v>0</v>
      </c>
      <c r="N379" s="13">
        <f t="shared" si="11"/>
        <v>1.02</v>
      </c>
      <c r="P379" s="14" t="s">
        <v>117</v>
      </c>
    </row>
    <row r="380" spans="1:16" x14ac:dyDescent="0.25">
      <c r="A380" s="1" t="s">
        <v>541</v>
      </c>
      <c r="B380" s="1" t="s">
        <v>69</v>
      </c>
      <c r="C380" t="s">
        <v>70</v>
      </c>
      <c r="E380" s="4">
        <v>54655</v>
      </c>
      <c r="F380" s="5">
        <v>-76.25</v>
      </c>
      <c r="G380" s="10" t="s">
        <v>73</v>
      </c>
      <c r="H380"/>
      <c r="J380" s="6">
        <v>47807</v>
      </c>
      <c r="K380" s="12">
        <v>8982.0602381221397</v>
      </c>
      <c r="M380">
        <f t="shared" si="10"/>
        <v>6848</v>
      </c>
      <c r="N380" s="13">
        <f t="shared" si="11"/>
        <v>-117.8</v>
      </c>
      <c r="P380" s="14" t="s">
        <v>117</v>
      </c>
    </row>
    <row r="381" spans="1:16" x14ac:dyDescent="0.25">
      <c r="A381" s="1" t="s">
        <v>542</v>
      </c>
      <c r="B381" s="1" t="s">
        <v>66</v>
      </c>
      <c r="C381" t="s">
        <v>67</v>
      </c>
      <c r="E381" s="4">
        <v>55150</v>
      </c>
      <c r="F381" s="5">
        <v>-52.06</v>
      </c>
      <c r="H381"/>
      <c r="J381" s="6">
        <v>55150</v>
      </c>
      <c r="K381" s="12">
        <v>-53.654830770623427</v>
      </c>
      <c r="M381">
        <f t="shared" si="10"/>
        <v>0</v>
      </c>
      <c r="N381" s="13">
        <f t="shared" si="11"/>
        <v>1.03</v>
      </c>
      <c r="P381" s="14" t="s">
        <v>117</v>
      </c>
    </row>
    <row r="382" spans="1:16" x14ac:dyDescent="0.25">
      <c r="A382" s="1" t="s">
        <v>543</v>
      </c>
      <c r="B382" s="1" t="s">
        <v>69</v>
      </c>
      <c r="C382" t="s">
        <v>70</v>
      </c>
      <c r="E382" s="4">
        <v>52018</v>
      </c>
      <c r="F382" s="5">
        <v>-129.37</v>
      </c>
      <c r="H382"/>
      <c r="J382" s="6">
        <v>52018</v>
      </c>
      <c r="K382" s="12">
        <v>-130.23199473809001</v>
      </c>
      <c r="M382">
        <f t="shared" si="10"/>
        <v>0</v>
      </c>
      <c r="N382" s="13">
        <f t="shared" si="11"/>
        <v>1.01</v>
      </c>
      <c r="P382" s="14" t="s">
        <v>117</v>
      </c>
    </row>
    <row r="383" spans="1:16" x14ac:dyDescent="0.25">
      <c r="A383" s="1" t="s">
        <v>544</v>
      </c>
      <c r="B383" s="1" t="s">
        <v>69</v>
      </c>
      <c r="C383" t="s">
        <v>70</v>
      </c>
      <c r="E383" s="4">
        <v>49075</v>
      </c>
      <c r="F383" s="5">
        <v>-1.65</v>
      </c>
      <c r="G383" s="10" t="s">
        <v>73</v>
      </c>
      <c r="H383"/>
      <c r="J383" s="6">
        <v>49959</v>
      </c>
      <c r="K383" s="12">
        <v>-19.34061133227895</v>
      </c>
      <c r="M383">
        <f t="shared" si="10"/>
        <v>-884</v>
      </c>
      <c r="N383" s="13">
        <f t="shared" si="11"/>
        <v>11.72</v>
      </c>
      <c r="P383" s="14" t="s">
        <v>170</v>
      </c>
    </row>
    <row r="384" spans="1:16" x14ac:dyDescent="0.25">
      <c r="A384" s="1" t="s">
        <v>545</v>
      </c>
      <c r="B384" s="1" t="s">
        <v>69</v>
      </c>
      <c r="C384" t="s">
        <v>70</v>
      </c>
      <c r="E384" s="4">
        <v>49759</v>
      </c>
      <c r="F384" s="5">
        <v>-38.49</v>
      </c>
      <c r="G384" s="10" t="s">
        <v>520</v>
      </c>
      <c r="H384"/>
      <c r="J384" s="6">
        <v>49851</v>
      </c>
      <c r="K384" s="12">
        <v>-210.34555037962301</v>
      </c>
      <c r="M384">
        <f t="shared" si="10"/>
        <v>-92</v>
      </c>
      <c r="N384" s="13">
        <f t="shared" si="11"/>
        <v>5.46</v>
      </c>
      <c r="P384" s="14" t="s">
        <v>117</v>
      </c>
    </row>
    <row r="385" spans="1:16" x14ac:dyDescent="0.25">
      <c r="A385" s="1" t="s">
        <v>546</v>
      </c>
      <c r="B385" s="1" t="s">
        <v>547</v>
      </c>
      <c r="C385" t="s">
        <v>548</v>
      </c>
      <c r="E385" s="4">
        <v>46719</v>
      </c>
      <c r="F385" s="5">
        <v>-6.82</v>
      </c>
      <c r="H385"/>
      <c r="J385" s="6">
        <v>46719</v>
      </c>
      <c r="K385" s="12">
        <v>-6.8372608975065248</v>
      </c>
      <c r="M385">
        <f t="shared" si="10"/>
        <v>0</v>
      </c>
      <c r="N385" s="13">
        <f t="shared" si="11"/>
        <v>1</v>
      </c>
      <c r="P385" s="14" t="s">
        <v>117</v>
      </c>
    </row>
    <row r="386" spans="1:16" x14ac:dyDescent="0.25">
      <c r="A386" s="1" t="s">
        <v>549</v>
      </c>
      <c r="B386" s="1" t="s">
        <v>547</v>
      </c>
      <c r="C386" t="s">
        <v>548</v>
      </c>
      <c r="E386" s="4">
        <v>57911</v>
      </c>
      <c r="F386" s="5">
        <v>-19.940000000000001</v>
      </c>
      <c r="H386"/>
      <c r="J386" s="6">
        <v>57911</v>
      </c>
      <c r="K386" s="12">
        <v>-22.27943154949628</v>
      </c>
      <c r="M386">
        <f t="shared" ref="M386:M449" si="12">E386-J386</f>
        <v>0</v>
      </c>
      <c r="N386" s="13">
        <f t="shared" ref="N386:N449" si="13">ROUND(K386/F386,2)</f>
        <v>1.1200000000000001</v>
      </c>
      <c r="P386" s="14" t="s">
        <v>117</v>
      </c>
    </row>
    <row r="387" spans="1:16" x14ac:dyDescent="0.25">
      <c r="A387" s="1" t="s">
        <v>550</v>
      </c>
      <c r="B387" s="1" t="s">
        <v>547</v>
      </c>
      <c r="C387" t="s">
        <v>548</v>
      </c>
      <c r="E387" s="4">
        <v>59372</v>
      </c>
      <c r="F387" s="5">
        <v>-309.01</v>
      </c>
      <c r="H387"/>
      <c r="J387" s="6">
        <v>59372</v>
      </c>
      <c r="K387" s="12">
        <v>-312.09304699414253</v>
      </c>
      <c r="M387">
        <f t="shared" si="12"/>
        <v>0</v>
      </c>
      <c r="N387" s="13">
        <f t="shared" si="13"/>
        <v>1.01</v>
      </c>
      <c r="P387" s="14" t="s">
        <v>117</v>
      </c>
    </row>
    <row r="388" spans="1:16" x14ac:dyDescent="0.25">
      <c r="A388" s="1" t="s">
        <v>551</v>
      </c>
      <c r="B388" s="1" t="s">
        <v>69</v>
      </c>
      <c r="C388" t="s">
        <v>70</v>
      </c>
      <c r="E388" s="4">
        <v>50563</v>
      </c>
      <c r="F388" s="5">
        <v>-224.93</v>
      </c>
      <c r="G388" s="10" t="s">
        <v>520</v>
      </c>
      <c r="H388"/>
      <c r="J388" s="6">
        <v>50624</v>
      </c>
      <c r="K388" s="12">
        <v>-194.1688136857899</v>
      </c>
      <c r="M388">
        <f t="shared" si="12"/>
        <v>-61</v>
      </c>
      <c r="N388" s="13">
        <f t="shared" si="13"/>
        <v>0.86</v>
      </c>
      <c r="P388" s="14" t="s">
        <v>117</v>
      </c>
    </row>
    <row r="389" spans="1:16" x14ac:dyDescent="0.25">
      <c r="A389" s="1" t="s">
        <v>552</v>
      </c>
      <c r="B389" s="1" t="s">
        <v>69</v>
      </c>
      <c r="C389" t="s">
        <v>70</v>
      </c>
      <c r="E389" s="4">
        <v>47563</v>
      </c>
      <c r="F389" s="5">
        <v>-83.36</v>
      </c>
      <c r="H389"/>
      <c r="J389" s="6">
        <v>47563</v>
      </c>
      <c r="K389" s="12">
        <v>-83.685568433467481</v>
      </c>
      <c r="M389">
        <f t="shared" si="12"/>
        <v>0</v>
      </c>
      <c r="N389" s="13">
        <f t="shared" si="13"/>
        <v>1</v>
      </c>
      <c r="P389" s="14" t="s">
        <v>117</v>
      </c>
    </row>
    <row r="390" spans="1:16" x14ac:dyDescent="0.25">
      <c r="A390" s="1" t="s">
        <v>74</v>
      </c>
      <c r="B390" s="1" t="s">
        <v>66</v>
      </c>
      <c r="C390" t="s">
        <v>67</v>
      </c>
      <c r="E390" s="4">
        <v>65491</v>
      </c>
      <c r="F390" s="5">
        <v>15539.11</v>
      </c>
      <c r="G390" s="10" t="s">
        <v>73</v>
      </c>
      <c r="H390"/>
      <c r="J390" s="6">
        <v>65491</v>
      </c>
      <c r="K390" s="12">
        <v>16272.009067388301</v>
      </c>
      <c r="M390">
        <f t="shared" si="12"/>
        <v>0</v>
      </c>
      <c r="N390" s="13">
        <f t="shared" si="13"/>
        <v>1.05</v>
      </c>
      <c r="P390" s="14" t="s">
        <v>170</v>
      </c>
    </row>
    <row r="391" spans="1:16" x14ac:dyDescent="0.25">
      <c r="A391" s="1" t="s">
        <v>553</v>
      </c>
      <c r="B391" s="1" t="s">
        <v>69</v>
      </c>
      <c r="C391" t="s">
        <v>70</v>
      </c>
      <c r="E391" s="4">
        <v>52137</v>
      </c>
      <c r="F391" s="5">
        <v>-61.63</v>
      </c>
      <c r="H391"/>
      <c r="J391" s="6">
        <v>52137</v>
      </c>
      <c r="K391" s="12">
        <v>-63.383756252559238</v>
      </c>
      <c r="M391">
        <f t="shared" si="12"/>
        <v>0</v>
      </c>
      <c r="N391" s="13">
        <f t="shared" si="13"/>
        <v>1.03</v>
      </c>
      <c r="P391" s="14" t="s">
        <v>117</v>
      </c>
    </row>
    <row r="392" spans="1:16" x14ac:dyDescent="0.25">
      <c r="A392" s="1" t="s">
        <v>554</v>
      </c>
      <c r="B392" s="1" t="s">
        <v>58</v>
      </c>
      <c r="C392" t="s">
        <v>54</v>
      </c>
      <c r="E392" s="4">
        <v>52530</v>
      </c>
      <c r="F392" s="5">
        <v>-17.850000000000001</v>
      </c>
      <c r="G392" s="10" t="s">
        <v>73</v>
      </c>
      <c r="H392"/>
      <c r="J392" s="6">
        <v>52530</v>
      </c>
      <c r="K392" s="12">
        <v>-18.793356331101851</v>
      </c>
      <c r="M392">
        <f t="shared" si="12"/>
        <v>0</v>
      </c>
      <c r="N392" s="13">
        <f t="shared" si="13"/>
        <v>1.05</v>
      </c>
      <c r="P392" s="14" t="s">
        <v>117</v>
      </c>
    </row>
    <row r="393" spans="1:16" x14ac:dyDescent="0.25">
      <c r="A393" s="1" t="s">
        <v>555</v>
      </c>
      <c r="B393" s="1" t="s">
        <v>66</v>
      </c>
      <c r="C393" t="s">
        <v>67</v>
      </c>
      <c r="E393" s="4">
        <v>49516</v>
      </c>
      <c r="F393" s="5">
        <v>-529.89</v>
      </c>
      <c r="H393"/>
      <c r="J393" s="6">
        <v>47782</v>
      </c>
      <c r="K393" s="12">
        <v>10393.834968423769</v>
      </c>
      <c r="M393">
        <f t="shared" si="12"/>
        <v>1734</v>
      </c>
      <c r="N393" s="13">
        <f t="shared" si="13"/>
        <v>-19.62</v>
      </c>
      <c r="P393" s="14" t="s">
        <v>117</v>
      </c>
    </row>
    <row r="394" spans="1:16" x14ac:dyDescent="0.25">
      <c r="A394" s="1" t="s">
        <v>75</v>
      </c>
      <c r="B394" s="1" t="s">
        <v>66</v>
      </c>
      <c r="C394" t="s">
        <v>67</v>
      </c>
      <c r="E394" s="4">
        <v>69150</v>
      </c>
      <c r="F394" s="5">
        <v>54824.19</v>
      </c>
      <c r="H394"/>
      <c r="J394" s="6">
        <v>69150</v>
      </c>
      <c r="K394" s="12">
        <v>54615.891131290307</v>
      </c>
      <c r="M394">
        <f t="shared" si="12"/>
        <v>0</v>
      </c>
      <c r="N394" s="13">
        <f t="shared" si="13"/>
        <v>1</v>
      </c>
      <c r="P394" s="14" t="s">
        <v>117</v>
      </c>
    </row>
    <row r="395" spans="1:16" x14ac:dyDescent="0.25">
      <c r="A395" s="1" t="s">
        <v>556</v>
      </c>
      <c r="B395" s="1" t="s">
        <v>69</v>
      </c>
      <c r="C395" t="s">
        <v>70</v>
      </c>
      <c r="E395" s="4">
        <v>51093</v>
      </c>
      <c r="F395" s="5">
        <v>-371.12</v>
      </c>
      <c r="H395"/>
      <c r="J395" s="6">
        <v>51093</v>
      </c>
      <c r="K395" s="12">
        <v>-378.43575569427242</v>
      </c>
      <c r="M395">
        <f t="shared" si="12"/>
        <v>0</v>
      </c>
      <c r="N395" s="13">
        <f t="shared" si="13"/>
        <v>1.02</v>
      </c>
      <c r="P395" s="14" t="s">
        <v>117</v>
      </c>
    </row>
    <row r="396" spans="1:16" x14ac:dyDescent="0.25">
      <c r="A396" s="1" t="s">
        <v>557</v>
      </c>
      <c r="B396" s="1" t="s">
        <v>66</v>
      </c>
      <c r="C396" t="s">
        <v>67</v>
      </c>
      <c r="E396" s="4">
        <v>56791</v>
      </c>
      <c r="F396" s="5">
        <v>-151.31</v>
      </c>
      <c r="H396"/>
      <c r="J396" s="6">
        <v>56791</v>
      </c>
      <c r="K396" s="12">
        <v>-155.44805708510671</v>
      </c>
      <c r="M396">
        <f t="shared" si="12"/>
        <v>0</v>
      </c>
      <c r="N396" s="13">
        <f t="shared" si="13"/>
        <v>1.03</v>
      </c>
      <c r="P396" s="14" t="s">
        <v>117</v>
      </c>
    </row>
    <row r="397" spans="1:16" x14ac:dyDescent="0.25">
      <c r="A397" s="1" t="s">
        <v>558</v>
      </c>
      <c r="B397" s="1" t="s">
        <v>66</v>
      </c>
      <c r="C397" t="s">
        <v>67</v>
      </c>
      <c r="E397" s="4">
        <v>68912</v>
      </c>
      <c r="F397" s="5">
        <v>-709.09</v>
      </c>
      <c r="H397"/>
      <c r="J397" s="6">
        <v>68912</v>
      </c>
      <c r="K397" s="12">
        <v>-811.9652201754725</v>
      </c>
      <c r="M397">
        <f t="shared" si="12"/>
        <v>0</v>
      </c>
      <c r="N397" s="13">
        <f t="shared" si="13"/>
        <v>1.1499999999999999</v>
      </c>
      <c r="P397" s="14" t="s">
        <v>117</v>
      </c>
    </row>
    <row r="398" spans="1:16" x14ac:dyDescent="0.25">
      <c r="A398" s="1" t="s">
        <v>76</v>
      </c>
      <c r="B398" s="1" t="s">
        <v>66</v>
      </c>
      <c r="C398" t="s">
        <v>67</v>
      </c>
      <c r="E398" s="4">
        <v>68089</v>
      </c>
      <c r="F398" s="5">
        <v>225557.34</v>
      </c>
      <c r="H398"/>
      <c r="J398" s="6">
        <v>68089</v>
      </c>
      <c r="K398" s="12">
        <v>224841.0137488308</v>
      </c>
      <c r="M398">
        <f t="shared" si="12"/>
        <v>0</v>
      </c>
      <c r="N398" s="13">
        <f t="shared" si="13"/>
        <v>1</v>
      </c>
      <c r="P398" s="14" t="s">
        <v>117</v>
      </c>
    </row>
    <row r="399" spans="1:16" x14ac:dyDescent="0.25">
      <c r="A399" s="1" t="s">
        <v>559</v>
      </c>
      <c r="B399" s="1" t="s">
        <v>66</v>
      </c>
      <c r="C399" t="s">
        <v>67</v>
      </c>
      <c r="E399" s="4">
        <v>49694</v>
      </c>
      <c r="F399" s="5">
        <v>-28.16</v>
      </c>
      <c r="G399" s="10" t="s">
        <v>560</v>
      </c>
      <c r="H399"/>
      <c r="J399" s="6">
        <v>49725</v>
      </c>
      <c r="K399" s="12">
        <v>-1.9238824988420899</v>
      </c>
      <c r="M399">
        <f t="shared" si="12"/>
        <v>-31</v>
      </c>
      <c r="N399" s="13">
        <f t="shared" si="13"/>
        <v>7.0000000000000007E-2</v>
      </c>
      <c r="P399" s="14" t="s">
        <v>117</v>
      </c>
    </row>
    <row r="400" spans="1:16" x14ac:dyDescent="0.25">
      <c r="A400" s="1" t="s">
        <v>561</v>
      </c>
      <c r="B400" s="1" t="s">
        <v>69</v>
      </c>
      <c r="C400" t="s">
        <v>70</v>
      </c>
      <c r="E400" s="4">
        <v>48689</v>
      </c>
      <c r="F400" s="5">
        <v>-110.9</v>
      </c>
      <c r="H400"/>
      <c r="J400" s="6">
        <v>48689</v>
      </c>
      <c r="K400" s="12">
        <v>-111.79044428091009</v>
      </c>
      <c r="M400">
        <f t="shared" si="12"/>
        <v>0</v>
      </c>
      <c r="N400" s="13">
        <f t="shared" si="13"/>
        <v>1.01</v>
      </c>
      <c r="P400" s="14" t="s">
        <v>117</v>
      </c>
    </row>
    <row r="401" spans="1:16" x14ac:dyDescent="0.25">
      <c r="A401" s="1" t="s">
        <v>562</v>
      </c>
      <c r="B401" s="1" t="s">
        <v>69</v>
      </c>
      <c r="C401" t="s">
        <v>70</v>
      </c>
      <c r="E401" s="4">
        <v>49298</v>
      </c>
      <c r="F401" s="5">
        <v>-105.64</v>
      </c>
      <c r="H401"/>
      <c r="J401" s="6">
        <v>49298</v>
      </c>
      <c r="K401" s="12">
        <v>-106.9236512133791</v>
      </c>
      <c r="M401">
        <f t="shared" si="12"/>
        <v>0</v>
      </c>
      <c r="N401" s="13">
        <f t="shared" si="13"/>
        <v>1.01</v>
      </c>
      <c r="P401" s="14" t="s">
        <v>117</v>
      </c>
    </row>
    <row r="402" spans="1:16" x14ac:dyDescent="0.25">
      <c r="A402" s="1" t="s">
        <v>563</v>
      </c>
      <c r="B402" s="1" t="s">
        <v>66</v>
      </c>
      <c r="C402" t="s">
        <v>67</v>
      </c>
      <c r="E402" s="4">
        <v>50372</v>
      </c>
      <c r="F402" s="5">
        <v>-124.14</v>
      </c>
      <c r="G402" s="10" t="s">
        <v>564</v>
      </c>
      <c r="H402"/>
      <c r="J402" s="6">
        <v>50372</v>
      </c>
      <c r="K402" s="12">
        <v>-129.74872319673219</v>
      </c>
      <c r="M402">
        <f t="shared" si="12"/>
        <v>0</v>
      </c>
      <c r="N402" s="13">
        <f t="shared" si="13"/>
        <v>1.05</v>
      </c>
      <c r="P402" s="14" t="s">
        <v>117</v>
      </c>
    </row>
    <row r="403" spans="1:16" x14ac:dyDescent="0.25">
      <c r="A403" s="1" t="s">
        <v>77</v>
      </c>
      <c r="B403" s="1" t="s">
        <v>66</v>
      </c>
      <c r="C403" t="s">
        <v>67</v>
      </c>
      <c r="E403" s="4">
        <v>67359</v>
      </c>
      <c r="F403" s="5">
        <v>184661.54</v>
      </c>
      <c r="H403"/>
      <c r="J403" s="6">
        <v>67359</v>
      </c>
      <c r="K403" s="12">
        <v>183627.20473144151</v>
      </c>
      <c r="M403">
        <f t="shared" si="12"/>
        <v>0</v>
      </c>
      <c r="N403" s="13">
        <f t="shared" si="13"/>
        <v>0.99</v>
      </c>
      <c r="P403" s="14" t="s">
        <v>117</v>
      </c>
    </row>
    <row r="404" spans="1:16" x14ac:dyDescent="0.25">
      <c r="A404" s="1" t="s">
        <v>565</v>
      </c>
      <c r="B404" s="1" t="s">
        <v>66</v>
      </c>
      <c r="C404" t="s">
        <v>67</v>
      </c>
      <c r="E404" s="4">
        <v>52402</v>
      </c>
      <c r="F404" s="5">
        <v>-78.37</v>
      </c>
      <c r="G404" s="10" t="s">
        <v>73</v>
      </c>
      <c r="H404"/>
      <c r="J404" s="6">
        <v>52402</v>
      </c>
      <c r="K404" s="12">
        <v>-79.295468547333854</v>
      </c>
      <c r="M404">
        <f t="shared" si="12"/>
        <v>0</v>
      </c>
      <c r="N404" s="13">
        <f t="shared" si="13"/>
        <v>1.01</v>
      </c>
      <c r="P404" s="14" t="s">
        <v>117</v>
      </c>
    </row>
    <row r="405" spans="1:16" x14ac:dyDescent="0.25">
      <c r="A405" s="1" t="s">
        <v>566</v>
      </c>
      <c r="B405" s="1" t="s">
        <v>69</v>
      </c>
      <c r="C405" t="s">
        <v>70</v>
      </c>
      <c r="E405" s="4">
        <v>52043</v>
      </c>
      <c r="F405" s="5">
        <v>-30.27</v>
      </c>
      <c r="G405" s="10" t="s">
        <v>73</v>
      </c>
      <c r="H405"/>
      <c r="J405" s="6">
        <v>52043</v>
      </c>
      <c r="K405" s="12">
        <v>-32.117851256806802</v>
      </c>
      <c r="M405">
        <f t="shared" si="12"/>
        <v>0</v>
      </c>
      <c r="N405" s="13">
        <f t="shared" si="13"/>
        <v>1.06</v>
      </c>
      <c r="P405" s="14" t="s">
        <v>117</v>
      </c>
    </row>
    <row r="406" spans="1:16" x14ac:dyDescent="0.25">
      <c r="A406" s="1" t="s">
        <v>567</v>
      </c>
      <c r="B406" s="1" t="s">
        <v>66</v>
      </c>
      <c r="C406" t="s">
        <v>67</v>
      </c>
      <c r="E406" s="4">
        <v>50695</v>
      </c>
      <c r="F406" s="5">
        <v>-112.56</v>
      </c>
      <c r="H406"/>
      <c r="J406" s="6">
        <v>50695</v>
      </c>
      <c r="K406" s="12">
        <v>-113.5081660318007</v>
      </c>
      <c r="M406">
        <f t="shared" si="12"/>
        <v>0</v>
      </c>
      <c r="N406" s="13">
        <f t="shared" si="13"/>
        <v>1.01</v>
      </c>
      <c r="P406" s="14" t="s">
        <v>117</v>
      </c>
    </row>
    <row r="407" spans="1:16" x14ac:dyDescent="0.25">
      <c r="A407" s="1" t="s">
        <v>568</v>
      </c>
      <c r="B407" s="1" t="s">
        <v>66</v>
      </c>
      <c r="C407" t="s">
        <v>67</v>
      </c>
      <c r="E407" s="4">
        <v>51761</v>
      </c>
      <c r="F407" s="5">
        <v>-25.5</v>
      </c>
      <c r="H407"/>
      <c r="J407" s="6">
        <v>51761</v>
      </c>
      <c r="K407" s="12">
        <v>-26.44036355099875</v>
      </c>
      <c r="M407">
        <f t="shared" si="12"/>
        <v>0</v>
      </c>
      <c r="N407" s="13">
        <f t="shared" si="13"/>
        <v>1.04</v>
      </c>
      <c r="P407" s="14" t="s">
        <v>117</v>
      </c>
    </row>
    <row r="408" spans="1:16" x14ac:dyDescent="0.25">
      <c r="A408" s="1" t="s">
        <v>569</v>
      </c>
      <c r="B408" s="1" t="s">
        <v>69</v>
      </c>
      <c r="C408" t="s">
        <v>70</v>
      </c>
      <c r="E408" s="4">
        <v>53792</v>
      </c>
      <c r="F408" s="5">
        <v>-80.66</v>
      </c>
      <c r="G408" s="10" t="s">
        <v>73</v>
      </c>
      <c r="H408"/>
      <c r="J408" s="6">
        <v>53792</v>
      </c>
      <c r="K408" s="12">
        <v>-82.29699472585088</v>
      </c>
      <c r="M408">
        <f t="shared" si="12"/>
        <v>0</v>
      </c>
      <c r="N408" s="13">
        <f t="shared" si="13"/>
        <v>1.02</v>
      </c>
      <c r="P408" s="14" t="s">
        <v>117</v>
      </c>
    </row>
    <row r="409" spans="1:16" x14ac:dyDescent="0.25">
      <c r="A409" s="1" t="s">
        <v>570</v>
      </c>
      <c r="B409" s="1" t="s">
        <v>66</v>
      </c>
      <c r="C409" t="s">
        <v>67</v>
      </c>
      <c r="E409" s="4">
        <v>56672</v>
      </c>
      <c r="F409" s="5">
        <v>-138.47999999999999</v>
      </c>
      <c r="H409"/>
      <c r="J409" s="6">
        <v>53597</v>
      </c>
      <c r="K409" s="12">
        <v>4436.1343144145712</v>
      </c>
      <c r="M409">
        <f t="shared" si="12"/>
        <v>3075</v>
      </c>
      <c r="N409" s="13">
        <f t="shared" si="13"/>
        <v>-32.03</v>
      </c>
      <c r="P409" s="14" t="s">
        <v>117</v>
      </c>
    </row>
    <row r="410" spans="1:16" x14ac:dyDescent="0.25">
      <c r="A410" s="1" t="s">
        <v>571</v>
      </c>
      <c r="B410" s="1" t="s">
        <v>66</v>
      </c>
      <c r="C410" t="s">
        <v>67</v>
      </c>
      <c r="E410" s="4">
        <v>56549</v>
      </c>
      <c r="F410" s="5">
        <v>-22.23</v>
      </c>
      <c r="H410"/>
      <c r="J410" s="6">
        <v>52501</v>
      </c>
      <c r="K410" s="12">
        <v>5727.7460061380043</v>
      </c>
      <c r="M410">
        <f t="shared" si="12"/>
        <v>4048</v>
      </c>
      <c r="N410" s="13">
        <f t="shared" si="13"/>
        <v>-257.66000000000003</v>
      </c>
      <c r="P410" s="14" t="s">
        <v>117</v>
      </c>
    </row>
    <row r="411" spans="1:16" x14ac:dyDescent="0.25">
      <c r="A411" s="1" t="s">
        <v>572</v>
      </c>
      <c r="B411" s="1" t="s">
        <v>66</v>
      </c>
      <c r="C411" t="s">
        <v>67</v>
      </c>
      <c r="E411" s="4">
        <v>55937</v>
      </c>
      <c r="F411" s="5">
        <v>-137.74</v>
      </c>
      <c r="H411"/>
      <c r="J411" s="6">
        <v>55937</v>
      </c>
      <c r="K411" s="12">
        <v>-139.56264226927101</v>
      </c>
      <c r="M411">
        <f t="shared" si="12"/>
        <v>0</v>
      </c>
      <c r="N411" s="13">
        <f t="shared" si="13"/>
        <v>1.01</v>
      </c>
      <c r="P411" s="14" t="s">
        <v>117</v>
      </c>
    </row>
    <row r="412" spans="1:16" x14ac:dyDescent="0.25">
      <c r="A412" s="1" t="s">
        <v>573</v>
      </c>
      <c r="B412" s="1" t="s">
        <v>66</v>
      </c>
      <c r="C412" t="s">
        <v>67</v>
      </c>
      <c r="E412" s="4">
        <v>49635</v>
      </c>
      <c r="F412" s="5">
        <v>-96.97</v>
      </c>
      <c r="H412"/>
      <c r="J412" s="6">
        <v>49635</v>
      </c>
      <c r="K412" s="12">
        <v>-101.9882310972276</v>
      </c>
      <c r="M412">
        <f t="shared" si="12"/>
        <v>0</v>
      </c>
      <c r="N412" s="13">
        <f t="shared" si="13"/>
        <v>1.05</v>
      </c>
      <c r="P412" s="14" t="s">
        <v>117</v>
      </c>
    </row>
    <row r="413" spans="1:16" x14ac:dyDescent="0.25">
      <c r="A413" s="1" t="s">
        <v>574</v>
      </c>
      <c r="B413" s="1" t="s">
        <v>69</v>
      </c>
      <c r="C413" t="s">
        <v>70</v>
      </c>
      <c r="E413" s="4">
        <v>52309</v>
      </c>
      <c r="F413" s="5">
        <v>-161.1</v>
      </c>
      <c r="G413" s="10" t="s">
        <v>486</v>
      </c>
      <c r="H413"/>
      <c r="J413" s="6">
        <v>52309</v>
      </c>
      <c r="K413" s="12">
        <v>-165.53451304702531</v>
      </c>
      <c r="M413">
        <f t="shared" si="12"/>
        <v>0</v>
      </c>
      <c r="N413" s="13">
        <f t="shared" si="13"/>
        <v>1.03</v>
      </c>
      <c r="P413" s="14" t="s">
        <v>117</v>
      </c>
    </row>
    <row r="414" spans="1:16" x14ac:dyDescent="0.25">
      <c r="A414" s="1" t="s">
        <v>575</v>
      </c>
      <c r="B414" s="1" t="s">
        <v>66</v>
      </c>
      <c r="C414" t="s">
        <v>67</v>
      </c>
      <c r="E414" s="4">
        <v>54594</v>
      </c>
      <c r="F414" s="5">
        <v>-229.93</v>
      </c>
      <c r="H414"/>
      <c r="J414" s="6">
        <v>54594</v>
      </c>
      <c r="K414" s="12">
        <v>-283.00907230382649</v>
      </c>
      <c r="M414">
        <f t="shared" si="12"/>
        <v>0</v>
      </c>
      <c r="N414" s="13">
        <f t="shared" si="13"/>
        <v>1.23</v>
      </c>
      <c r="P414" s="14" t="s">
        <v>117</v>
      </c>
    </row>
    <row r="415" spans="1:16" x14ac:dyDescent="0.25">
      <c r="A415" s="1" t="s">
        <v>576</v>
      </c>
      <c r="B415" s="1" t="s">
        <v>69</v>
      </c>
      <c r="C415" t="s">
        <v>70</v>
      </c>
      <c r="E415" s="4">
        <v>49553</v>
      </c>
      <c r="F415" s="5">
        <v>-37.58</v>
      </c>
      <c r="G415" s="10" t="s">
        <v>73</v>
      </c>
      <c r="H415"/>
      <c r="J415" s="6">
        <v>50161</v>
      </c>
      <c r="K415" s="12">
        <v>-17.11473926188448</v>
      </c>
      <c r="M415">
        <f t="shared" si="12"/>
        <v>-608</v>
      </c>
      <c r="N415" s="13">
        <f t="shared" si="13"/>
        <v>0.46</v>
      </c>
      <c r="P415" s="14" t="s">
        <v>170</v>
      </c>
    </row>
    <row r="416" spans="1:16" x14ac:dyDescent="0.25">
      <c r="A416" s="1" t="s">
        <v>577</v>
      </c>
      <c r="B416" s="1" t="s">
        <v>69</v>
      </c>
      <c r="C416" t="s">
        <v>70</v>
      </c>
      <c r="E416" s="4">
        <v>53124</v>
      </c>
      <c r="F416" s="5">
        <v>-55.06</v>
      </c>
      <c r="G416" s="10" t="s">
        <v>73</v>
      </c>
      <c r="H416"/>
      <c r="J416" s="6">
        <v>54554</v>
      </c>
      <c r="K416" s="12">
        <v>-302.8289612096134</v>
      </c>
      <c r="M416">
        <f t="shared" si="12"/>
        <v>-1430</v>
      </c>
      <c r="N416" s="13">
        <f t="shared" si="13"/>
        <v>5.5</v>
      </c>
      <c r="P416" s="14" t="s">
        <v>170</v>
      </c>
    </row>
    <row r="417" spans="1:16" x14ac:dyDescent="0.25">
      <c r="A417" s="1" t="s">
        <v>578</v>
      </c>
      <c r="B417" s="1" t="s">
        <v>66</v>
      </c>
      <c r="C417" t="s">
        <v>67</v>
      </c>
      <c r="E417" s="4">
        <v>56746</v>
      </c>
      <c r="F417" s="5">
        <v>188005.73</v>
      </c>
      <c r="G417" s="10" t="s">
        <v>486</v>
      </c>
      <c r="H417"/>
      <c r="J417" s="6">
        <v>48438</v>
      </c>
      <c r="K417" s="12">
        <v>38246.507275001692</v>
      </c>
      <c r="M417">
        <f t="shared" si="12"/>
        <v>8308</v>
      </c>
      <c r="N417" s="13">
        <f t="shared" si="13"/>
        <v>0.2</v>
      </c>
      <c r="P417" s="14" t="s">
        <v>217</v>
      </c>
    </row>
    <row r="418" spans="1:16" x14ac:dyDescent="0.25">
      <c r="A418" s="1" t="s">
        <v>579</v>
      </c>
      <c r="B418" s="1" t="s">
        <v>69</v>
      </c>
      <c r="C418" t="s">
        <v>70</v>
      </c>
      <c r="E418" s="4">
        <v>46376</v>
      </c>
      <c r="F418" s="5">
        <v>-10.1</v>
      </c>
      <c r="H418"/>
      <c r="J418" s="6">
        <v>46376</v>
      </c>
      <c r="K418" s="12">
        <v>-10.11404652125756</v>
      </c>
      <c r="M418">
        <f t="shared" si="12"/>
        <v>0</v>
      </c>
      <c r="N418" s="13">
        <f t="shared" si="13"/>
        <v>1</v>
      </c>
      <c r="P418" s="14" t="s">
        <v>117</v>
      </c>
    </row>
    <row r="419" spans="1:16" x14ac:dyDescent="0.25">
      <c r="A419" s="1" t="s">
        <v>580</v>
      </c>
      <c r="B419" s="1" t="s">
        <v>66</v>
      </c>
      <c r="C419" t="s">
        <v>67</v>
      </c>
      <c r="E419" s="4">
        <v>62972</v>
      </c>
      <c r="F419" s="5">
        <v>76984.14</v>
      </c>
      <c r="G419" s="10" t="s">
        <v>463</v>
      </c>
      <c r="H419"/>
      <c r="J419" s="6">
        <v>47784</v>
      </c>
      <c r="K419" s="12">
        <v>5354.0836037078916</v>
      </c>
      <c r="M419">
        <f t="shared" si="12"/>
        <v>15188</v>
      </c>
      <c r="N419" s="13">
        <f t="shared" si="13"/>
        <v>7.0000000000000007E-2</v>
      </c>
      <c r="P419" s="14"/>
    </row>
    <row r="420" spans="1:16" x14ac:dyDescent="0.25">
      <c r="A420" s="1" t="s">
        <v>581</v>
      </c>
      <c r="B420" s="1" t="s">
        <v>66</v>
      </c>
      <c r="C420" t="s">
        <v>67</v>
      </c>
      <c r="E420" s="4">
        <v>52824</v>
      </c>
      <c r="F420" s="5">
        <v>-292.73</v>
      </c>
      <c r="H420"/>
      <c r="J420" s="6">
        <v>52824</v>
      </c>
      <c r="K420" s="12">
        <v>-293.74824878207852</v>
      </c>
      <c r="M420">
        <f t="shared" si="12"/>
        <v>0</v>
      </c>
      <c r="N420" s="13">
        <f t="shared" si="13"/>
        <v>1</v>
      </c>
      <c r="P420" s="14" t="s">
        <v>117</v>
      </c>
    </row>
    <row r="421" spans="1:16" x14ac:dyDescent="0.25">
      <c r="A421" s="1" t="s">
        <v>582</v>
      </c>
      <c r="B421" s="1" t="s">
        <v>66</v>
      </c>
      <c r="C421" t="s">
        <v>67</v>
      </c>
      <c r="E421" s="4">
        <v>48777</v>
      </c>
      <c r="F421" s="5">
        <v>-241.09</v>
      </c>
      <c r="H421"/>
      <c r="J421" s="6">
        <v>48777</v>
      </c>
      <c r="K421" s="12">
        <v>-242.90352753794261</v>
      </c>
      <c r="M421">
        <f t="shared" si="12"/>
        <v>0</v>
      </c>
      <c r="N421" s="13">
        <f t="shared" si="13"/>
        <v>1.01</v>
      </c>
      <c r="P421" s="14" t="s">
        <v>117</v>
      </c>
    </row>
    <row r="422" spans="1:16" x14ac:dyDescent="0.25">
      <c r="A422" s="1" t="s">
        <v>583</v>
      </c>
      <c r="B422" s="1" t="s">
        <v>66</v>
      </c>
      <c r="C422" t="s">
        <v>67</v>
      </c>
      <c r="E422" s="4">
        <v>52063</v>
      </c>
      <c r="F422" s="5">
        <v>-90.44</v>
      </c>
      <c r="H422"/>
      <c r="J422" s="6">
        <v>52063</v>
      </c>
      <c r="K422" s="12">
        <v>-90.587745910121086</v>
      </c>
      <c r="M422">
        <f t="shared" si="12"/>
        <v>0</v>
      </c>
      <c r="N422" s="13">
        <f t="shared" si="13"/>
        <v>1</v>
      </c>
      <c r="P422" s="14" t="s">
        <v>117</v>
      </c>
    </row>
    <row r="423" spans="1:16" x14ac:dyDescent="0.25">
      <c r="A423" s="1" t="s">
        <v>584</v>
      </c>
      <c r="B423" s="1" t="s">
        <v>69</v>
      </c>
      <c r="C423" t="s">
        <v>70</v>
      </c>
      <c r="E423" s="4">
        <v>50526</v>
      </c>
      <c r="F423" s="5">
        <v>-145.33000000000001</v>
      </c>
      <c r="G423" s="10" t="s">
        <v>509</v>
      </c>
      <c r="H423"/>
      <c r="J423" s="6">
        <v>50526</v>
      </c>
      <c r="K423" s="12">
        <v>-145.78410045436661</v>
      </c>
      <c r="M423">
        <f t="shared" si="12"/>
        <v>0</v>
      </c>
      <c r="N423" s="13">
        <f t="shared" si="13"/>
        <v>1</v>
      </c>
      <c r="P423" s="14" t="s">
        <v>117</v>
      </c>
    </row>
    <row r="424" spans="1:16" x14ac:dyDescent="0.25">
      <c r="A424" s="1" t="s">
        <v>585</v>
      </c>
      <c r="B424" s="1" t="s">
        <v>66</v>
      </c>
      <c r="C424" t="s">
        <v>67</v>
      </c>
      <c r="E424" s="4">
        <v>52896</v>
      </c>
      <c r="F424" s="5">
        <v>-23.68</v>
      </c>
      <c r="H424"/>
      <c r="J424" s="6">
        <v>52896</v>
      </c>
      <c r="K424" s="12">
        <v>-24.95842058638166</v>
      </c>
      <c r="M424">
        <f t="shared" si="12"/>
        <v>0</v>
      </c>
      <c r="N424" s="13">
        <f t="shared" si="13"/>
        <v>1.05</v>
      </c>
      <c r="P424" s="14" t="s">
        <v>117</v>
      </c>
    </row>
    <row r="425" spans="1:16" x14ac:dyDescent="0.25">
      <c r="A425" s="1" t="s">
        <v>586</v>
      </c>
      <c r="B425" s="1" t="s">
        <v>69</v>
      </c>
      <c r="C425" t="s">
        <v>70</v>
      </c>
      <c r="E425" s="4">
        <v>54098</v>
      </c>
      <c r="F425" s="5">
        <v>-142.26</v>
      </c>
      <c r="H425"/>
      <c r="J425" s="6">
        <v>47218</v>
      </c>
      <c r="K425" s="12">
        <v>4099.815951624324</v>
      </c>
      <c r="M425">
        <f t="shared" si="12"/>
        <v>6880</v>
      </c>
      <c r="N425" s="13">
        <f t="shared" si="13"/>
        <v>-28.82</v>
      </c>
      <c r="P425" s="14" t="s">
        <v>217</v>
      </c>
    </row>
    <row r="426" spans="1:16" x14ac:dyDescent="0.25">
      <c r="A426" s="1" t="s">
        <v>587</v>
      </c>
      <c r="B426" s="1" t="s">
        <v>66</v>
      </c>
      <c r="C426" t="s">
        <v>67</v>
      </c>
      <c r="E426" s="4">
        <v>46888</v>
      </c>
      <c r="F426" s="5">
        <v>-119.44</v>
      </c>
      <c r="H426"/>
      <c r="J426" s="6">
        <v>46888</v>
      </c>
      <c r="K426" s="12">
        <v>-119.63900596185481</v>
      </c>
      <c r="M426">
        <f t="shared" si="12"/>
        <v>0</v>
      </c>
      <c r="N426" s="13">
        <f t="shared" si="13"/>
        <v>1</v>
      </c>
      <c r="P426" s="14" t="s">
        <v>117</v>
      </c>
    </row>
    <row r="427" spans="1:16" x14ac:dyDescent="0.25">
      <c r="A427" s="1" t="s">
        <v>588</v>
      </c>
      <c r="B427" s="1" t="s">
        <v>547</v>
      </c>
      <c r="C427" t="s">
        <v>548</v>
      </c>
      <c r="E427" s="4">
        <v>52240</v>
      </c>
      <c r="F427" s="5">
        <v>-16.43</v>
      </c>
      <c r="G427" s="10" t="s">
        <v>73</v>
      </c>
      <c r="H427"/>
      <c r="J427" s="6">
        <v>52240</v>
      </c>
      <c r="K427" s="12">
        <v>-16.502081618898071</v>
      </c>
      <c r="M427">
        <f t="shared" si="12"/>
        <v>0</v>
      </c>
      <c r="N427" s="13">
        <f t="shared" si="13"/>
        <v>1</v>
      </c>
      <c r="P427" s="14" t="s">
        <v>117</v>
      </c>
    </row>
    <row r="428" spans="1:16" x14ac:dyDescent="0.25">
      <c r="A428" s="1" t="s">
        <v>589</v>
      </c>
      <c r="B428" s="1" t="s">
        <v>69</v>
      </c>
      <c r="C428" t="s">
        <v>70</v>
      </c>
      <c r="E428" s="4">
        <v>52337</v>
      </c>
      <c r="F428" s="5">
        <v>-14.81</v>
      </c>
      <c r="H428"/>
      <c r="J428" s="6">
        <v>52337</v>
      </c>
      <c r="K428" s="12">
        <v>-15.354748756926851</v>
      </c>
      <c r="M428">
        <f t="shared" si="12"/>
        <v>0</v>
      </c>
      <c r="N428" s="13">
        <f t="shared" si="13"/>
        <v>1.04</v>
      </c>
      <c r="P428" s="14" t="s">
        <v>117</v>
      </c>
    </row>
    <row r="429" spans="1:16" x14ac:dyDescent="0.25">
      <c r="A429" s="1" t="s">
        <v>590</v>
      </c>
      <c r="B429" s="1" t="s">
        <v>69</v>
      </c>
      <c r="C429" t="s">
        <v>70</v>
      </c>
      <c r="E429" s="4">
        <v>50915</v>
      </c>
      <c r="F429" s="5">
        <v>-432.12</v>
      </c>
      <c r="H429"/>
      <c r="J429" s="6">
        <v>50915</v>
      </c>
      <c r="K429" s="12">
        <v>-435.61324578143751</v>
      </c>
      <c r="M429">
        <f t="shared" si="12"/>
        <v>0</v>
      </c>
      <c r="N429" s="13">
        <f t="shared" si="13"/>
        <v>1.01</v>
      </c>
      <c r="P429" s="14" t="s">
        <v>117</v>
      </c>
    </row>
    <row r="430" spans="1:16" x14ac:dyDescent="0.25">
      <c r="A430" s="1" t="s">
        <v>591</v>
      </c>
      <c r="B430" s="1" t="s">
        <v>66</v>
      </c>
      <c r="C430" t="s">
        <v>67</v>
      </c>
      <c r="E430" s="4">
        <v>54636</v>
      </c>
      <c r="F430" s="5">
        <v>-43.65</v>
      </c>
      <c r="H430"/>
      <c r="J430" s="6">
        <v>54636</v>
      </c>
      <c r="K430" s="12">
        <v>-44.336674174967953</v>
      </c>
      <c r="M430">
        <f t="shared" si="12"/>
        <v>0</v>
      </c>
      <c r="N430" s="13">
        <f t="shared" si="13"/>
        <v>1.02</v>
      </c>
      <c r="P430" s="14" t="s">
        <v>117</v>
      </c>
    </row>
    <row r="431" spans="1:16" x14ac:dyDescent="0.25">
      <c r="A431" s="1" t="s">
        <v>592</v>
      </c>
      <c r="B431" s="1" t="s">
        <v>66</v>
      </c>
      <c r="C431" t="s">
        <v>67</v>
      </c>
      <c r="E431" s="4">
        <v>46262</v>
      </c>
      <c r="F431" s="5">
        <v>-261.76</v>
      </c>
      <c r="H431"/>
      <c r="J431" s="6">
        <v>46262</v>
      </c>
      <c r="K431" s="12">
        <v>-261.82117783125921</v>
      </c>
      <c r="M431">
        <f t="shared" si="12"/>
        <v>0</v>
      </c>
      <c r="N431" s="13">
        <f t="shared" si="13"/>
        <v>1</v>
      </c>
      <c r="P431" s="14" t="s">
        <v>117</v>
      </c>
    </row>
    <row r="432" spans="1:16" x14ac:dyDescent="0.25">
      <c r="A432" s="1" t="s">
        <v>593</v>
      </c>
      <c r="B432" s="1" t="s">
        <v>66</v>
      </c>
      <c r="C432" t="s">
        <v>67</v>
      </c>
      <c r="E432" s="4">
        <v>47631</v>
      </c>
      <c r="F432" s="5">
        <v>-53.93</v>
      </c>
      <c r="H432"/>
      <c r="J432" s="6">
        <v>47631</v>
      </c>
      <c r="K432" s="12">
        <v>-54.746181973925161</v>
      </c>
      <c r="M432">
        <f t="shared" si="12"/>
        <v>0</v>
      </c>
      <c r="N432" s="13">
        <f t="shared" si="13"/>
        <v>1.02</v>
      </c>
      <c r="P432" s="14" t="s">
        <v>117</v>
      </c>
    </row>
    <row r="433" spans="1:16" x14ac:dyDescent="0.25">
      <c r="A433" s="1" t="s">
        <v>594</v>
      </c>
      <c r="B433" s="1" t="s">
        <v>69</v>
      </c>
      <c r="C433" t="s">
        <v>70</v>
      </c>
      <c r="E433" s="4">
        <v>50138</v>
      </c>
      <c r="F433" s="5">
        <v>-833.66</v>
      </c>
      <c r="H433"/>
      <c r="J433" s="6">
        <v>46791</v>
      </c>
      <c r="K433" s="12">
        <v>35805.008948473856</v>
      </c>
      <c r="M433">
        <f t="shared" si="12"/>
        <v>3347</v>
      </c>
      <c r="N433" s="13">
        <f t="shared" si="13"/>
        <v>-42.95</v>
      </c>
      <c r="P433" s="14" t="s">
        <v>117</v>
      </c>
    </row>
    <row r="434" spans="1:16" x14ac:dyDescent="0.25">
      <c r="A434" s="1" t="s">
        <v>595</v>
      </c>
      <c r="B434" s="1" t="s">
        <v>69</v>
      </c>
      <c r="C434" t="s">
        <v>70</v>
      </c>
      <c r="E434" s="4">
        <v>54067</v>
      </c>
      <c r="F434" s="5">
        <v>-643.46</v>
      </c>
      <c r="H434"/>
      <c r="J434" s="6">
        <v>54067</v>
      </c>
      <c r="K434" s="12">
        <v>-646.06775641714376</v>
      </c>
      <c r="M434">
        <f t="shared" si="12"/>
        <v>0</v>
      </c>
      <c r="N434" s="13">
        <f t="shared" si="13"/>
        <v>1</v>
      </c>
      <c r="P434" s="14" t="s">
        <v>117</v>
      </c>
    </row>
    <row r="435" spans="1:16" x14ac:dyDescent="0.25">
      <c r="A435" s="1" t="s">
        <v>596</v>
      </c>
      <c r="B435" s="1" t="s">
        <v>69</v>
      </c>
      <c r="C435" t="s">
        <v>70</v>
      </c>
      <c r="E435" s="4">
        <v>53649</v>
      </c>
      <c r="F435" s="5">
        <v>-330.87</v>
      </c>
      <c r="G435" s="10" t="s">
        <v>73</v>
      </c>
      <c r="H435"/>
      <c r="J435" s="6">
        <v>53649</v>
      </c>
      <c r="K435" s="12">
        <v>-335.36233044514</v>
      </c>
      <c r="M435">
        <f t="shared" si="12"/>
        <v>0</v>
      </c>
      <c r="N435" s="13">
        <f t="shared" si="13"/>
        <v>1.01</v>
      </c>
      <c r="P435" s="14" t="s">
        <v>117</v>
      </c>
    </row>
    <row r="436" spans="1:16" x14ac:dyDescent="0.25">
      <c r="A436" s="1" t="s">
        <v>597</v>
      </c>
      <c r="B436" s="1" t="s">
        <v>69</v>
      </c>
      <c r="C436" t="s">
        <v>70</v>
      </c>
      <c r="E436" s="4">
        <v>53891</v>
      </c>
      <c r="F436" s="5">
        <v>-227.22</v>
      </c>
      <c r="G436" s="10" t="s">
        <v>73</v>
      </c>
      <c r="H436"/>
      <c r="J436" s="6">
        <v>53891</v>
      </c>
      <c r="K436" s="12">
        <v>-232.12780570698999</v>
      </c>
      <c r="M436">
        <f t="shared" si="12"/>
        <v>0</v>
      </c>
      <c r="N436" s="13">
        <f t="shared" si="13"/>
        <v>1.02</v>
      </c>
      <c r="P436" s="14" t="s">
        <v>117</v>
      </c>
    </row>
    <row r="437" spans="1:16" x14ac:dyDescent="0.25">
      <c r="A437" s="1" t="s">
        <v>598</v>
      </c>
      <c r="B437" s="1" t="s">
        <v>58</v>
      </c>
      <c r="C437" t="s">
        <v>54</v>
      </c>
      <c r="E437" s="4">
        <v>46784</v>
      </c>
      <c r="F437" s="5">
        <v>-8.1</v>
      </c>
      <c r="H437"/>
      <c r="J437" s="6">
        <v>46784</v>
      </c>
      <c r="K437" s="12">
        <v>-8.1067565815904459</v>
      </c>
      <c r="M437">
        <f t="shared" si="12"/>
        <v>0</v>
      </c>
      <c r="N437" s="13">
        <f t="shared" si="13"/>
        <v>1</v>
      </c>
      <c r="P437" s="14" t="s">
        <v>117</v>
      </c>
    </row>
    <row r="438" spans="1:16" x14ac:dyDescent="0.25">
      <c r="A438" s="1" t="s">
        <v>599</v>
      </c>
      <c r="B438" s="1" t="s">
        <v>58</v>
      </c>
      <c r="C438" t="s">
        <v>54</v>
      </c>
      <c r="E438" s="4">
        <v>46784</v>
      </c>
      <c r="F438" s="5">
        <v>-22.37</v>
      </c>
      <c r="H438"/>
      <c r="J438" s="6">
        <v>46784</v>
      </c>
      <c r="K438" s="12">
        <v>-22.377721628026681</v>
      </c>
      <c r="M438">
        <f t="shared" si="12"/>
        <v>0</v>
      </c>
      <c r="N438" s="13">
        <f t="shared" si="13"/>
        <v>1</v>
      </c>
      <c r="P438" s="14" t="s">
        <v>117</v>
      </c>
    </row>
    <row r="439" spans="1:16" x14ac:dyDescent="0.25">
      <c r="A439" s="1" t="s">
        <v>600</v>
      </c>
      <c r="B439" s="1" t="s">
        <v>69</v>
      </c>
      <c r="C439" t="s">
        <v>70</v>
      </c>
      <c r="E439" s="4">
        <v>50936</v>
      </c>
      <c r="F439" s="5">
        <v>-111.25</v>
      </c>
      <c r="G439" s="10" t="s">
        <v>73</v>
      </c>
      <c r="H439"/>
      <c r="J439" s="6">
        <v>50936</v>
      </c>
      <c r="K439" s="12">
        <v>-111.8434847588414</v>
      </c>
      <c r="M439">
        <f t="shared" si="12"/>
        <v>0</v>
      </c>
      <c r="N439" s="13">
        <f t="shared" si="13"/>
        <v>1.01</v>
      </c>
      <c r="P439" s="14" t="s">
        <v>117</v>
      </c>
    </row>
    <row r="440" spans="1:16" x14ac:dyDescent="0.25">
      <c r="A440" s="1" t="s">
        <v>601</v>
      </c>
      <c r="B440" s="1" t="s">
        <v>69</v>
      </c>
      <c r="C440" t="s">
        <v>70</v>
      </c>
      <c r="E440" s="4">
        <v>53008</v>
      </c>
      <c r="F440" s="5">
        <v>-128.83000000000001</v>
      </c>
      <c r="G440" s="10" t="s">
        <v>73</v>
      </c>
      <c r="H440"/>
      <c r="J440" s="6">
        <v>53008</v>
      </c>
      <c r="K440" s="12">
        <v>-129.6170935799372</v>
      </c>
      <c r="M440">
        <f t="shared" si="12"/>
        <v>0</v>
      </c>
      <c r="N440" s="13">
        <f t="shared" si="13"/>
        <v>1.01</v>
      </c>
      <c r="P440" s="14" t="s">
        <v>117</v>
      </c>
    </row>
    <row r="441" spans="1:16" x14ac:dyDescent="0.25">
      <c r="A441" s="1" t="s">
        <v>602</v>
      </c>
      <c r="B441" s="1" t="s">
        <v>69</v>
      </c>
      <c r="C441" t="s">
        <v>70</v>
      </c>
      <c r="E441" s="4">
        <v>46868</v>
      </c>
      <c r="F441" s="5">
        <v>-16.13</v>
      </c>
      <c r="G441" s="10" t="s">
        <v>509</v>
      </c>
      <c r="H441"/>
      <c r="J441" s="6">
        <v>46868</v>
      </c>
      <c r="K441" s="12">
        <v>-16.42514287042599</v>
      </c>
      <c r="M441">
        <f t="shared" si="12"/>
        <v>0</v>
      </c>
      <c r="N441" s="13">
        <f t="shared" si="13"/>
        <v>1.02</v>
      </c>
      <c r="P441" s="14" t="s">
        <v>117</v>
      </c>
    </row>
    <row r="442" spans="1:16" x14ac:dyDescent="0.25">
      <c r="A442" s="1" t="s">
        <v>603</v>
      </c>
      <c r="B442" s="1" t="s">
        <v>69</v>
      </c>
      <c r="C442" t="s">
        <v>70</v>
      </c>
      <c r="E442" s="4">
        <v>46563</v>
      </c>
      <c r="F442" s="5">
        <v>-34.44</v>
      </c>
      <c r="G442" s="10" t="s">
        <v>509</v>
      </c>
      <c r="H442"/>
      <c r="J442" s="6">
        <v>46563</v>
      </c>
      <c r="K442" s="12">
        <v>-34.64706815835649</v>
      </c>
      <c r="M442">
        <f t="shared" si="12"/>
        <v>0</v>
      </c>
      <c r="N442" s="13">
        <f t="shared" si="13"/>
        <v>1.01</v>
      </c>
      <c r="P442" s="14" t="s">
        <v>117</v>
      </c>
    </row>
    <row r="443" spans="1:16" x14ac:dyDescent="0.25">
      <c r="A443" s="1" t="s">
        <v>604</v>
      </c>
      <c r="B443" s="1" t="s">
        <v>69</v>
      </c>
      <c r="C443" t="s">
        <v>70</v>
      </c>
      <c r="E443" s="4">
        <v>48697</v>
      </c>
      <c r="F443" s="5">
        <v>-239.79</v>
      </c>
      <c r="H443"/>
      <c r="J443" s="6">
        <v>48697</v>
      </c>
      <c r="K443" s="12">
        <v>-246.13591122810871</v>
      </c>
      <c r="M443">
        <f t="shared" si="12"/>
        <v>0</v>
      </c>
      <c r="N443" s="13">
        <f t="shared" si="13"/>
        <v>1.03</v>
      </c>
      <c r="P443" s="14" t="s">
        <v>117</v>
      </c>
    </row>
    <row r="444" spans="1:16" x14ac:dyDescent="0.25">
      <c r="A444" s="1" t="s">
        <v>605</v>
      </c>
      <c r="B444" s="1" t="s">
        <v>69</v>
      </c>
      <c r="C444" t="s">
        <v>70</v>
      </c>
      <c r="E444" s="4">
        <v>47953</v>
      </c>
      <c r="F444" s="5">
        <v>-83.04</v>
      </c>
      <c r="H444"/>
      <c r="J444" s="6">
        <v>47953</v>
      </c>
      <c r="K444" s="12">
        <v>-83.460221658210287</v>
      </c>
      <c r="M444">
        <f t="shared" si="12"/>
        <v>0</v>
      </c>
      <c r="N444" s="13">
        <f t="shared" si="13"/>
        <v>1.01</v>
      </c>
      <c r="P444" s="14" t="s">
        <v>117</v>
      </c>
    </row>
    <row r="445" spans="1:16" x14ac:dyDescent="0.25">
      <c r="A445" s="1" t="s">
        <v>606</v>
      </c>
      <c r="B445" s="1" t="s">
        <v>69</v>
      </c>
      <c r="C445" t="s">
        <v>70</v>
      </c>
      <c r="E445" s="4">
        <v>48202</v>
      </c>
      <c r="F445" s="5">
        <v>-123.59</v>
      </c>
      <c r="H445"/>
      <c r="J445" s="6">
        <v>48202</v>
      </c>
      <c r="K445" s="12">
        <v>-124.1945925628244</v>
      </c>
      <c r="M445">
        <f t="shared" si="12"/>
        <v>0</v>
      </c>
      <c r="N445" s="13">
        <f t="shared" si="13"/>
        <v>1</v>
      </c>
      <c r="P445" s="14" t="s">
        <v>117</v>
      </c>
    </row>
    <row r="446" spans="1:16" x14ac:dyDescent="0.25">
      <c r="A446" s="1" t="s">
        <v>607</v>
      </c>
      <c r="B446" s="1" t="s">
        <v>69</v>
      </c>
      <c r="C446" t="s">
        <v>70</v>
      </c>
      <c r="E446" s="4">
        <v>47228</v>
      </c>
      <c r="F446" s="5">
        <v>-69.19</v>
      </c>
      <c r="H446"/>
      <c r="J446" s="6">
        <v>47228</v>
      </c>
      <c r="K446" s="12">
        <v>-69.6045920710921</v>
      </c>
      <c r="M446">
        <f t="shared" si="12"/>
        <v>0</v>
      </c>
      <c r="N446" s="13">
        <f t="shared" si="13"/>
        <v>1.01</v>
      </c>
      <c r="P446" s="14" t="s">
        <v>117</v>
      </c>
    </row>
    <row r="447" spans="1:16" x14ac:dyDescent="0.25">
      <c r="A447" s="1" t="s">
        <v>608</v>
      </c>
      <c r="B447" s="1" t="s">
        <v>69</v>
      </c>
      <c r="C447" t="s">
        <v>70</v>
      </c>
      <c r="E447" s="4">
        <v>52176</v>
      </c>
      <c r="F447" s="5">
        <v>-189.15</v>
      </c>
      <c r="H447"/>
      <c r="J447" s="6">
        <v>47489</v>
      </c>
      <c r="K447" s="12">
        <v>10575.374294025651</v>
      </c>
      <c r="M447">
        <f t="shared" si="12"/>
        <v>4687</v>
      </c>
      <c r="N447" s="13">
        <f t="shared" si="13"/>
        <v>-55.91</v>
      </c>
      <c r="P447" s="14" t="s">
        <v>217</v>
      </c>
    </row>
    <row r="448" spans="1:16" x14ac:dyDescent="0.25">
      <c r="A448" s="1" t="s">
        <v>609</v>
      </c>
      <c r="B448" s="1" t="s">
        <v>66</v>
      </c>
      <c r="C448" t="s">
        <v>67</v>
      </c>
      <c r="E448" s="4">
        <v>55101</v>
      </c>
      <c r="F448" s="5">
        <v>-75.47</v>
      </c>
      <c r="H448"/>
      <c r="J448" s="6">
        <v>49104</v>
      </c>
      <c r="K448" s="12">
        <v>1987.4781448688971</v>
      </c>
      <c r="M448">
        <f t="shared" si="12"/>
        <v>5997</v>
      </c>
      <c r="N448" s="13">
        <f t="shared" si="13"/>
        <v>-26.33</v>
      </c>
      <c r="P448" s="14" t="s">
        <v>217</v>
      </c>
    </row>
    <row r="449" spans="1:16" x14ac:dyDescent="0.25">
      <c r="A449" s="1" t="s">
        <v>610</v>
      </c>
      <c r="B449" s="1" t="s">
        <v>66</v>
      </c>
      <c r="C449" t="s">
        <v>67</v>
      </c>
      <c r="E449" s="4">
        <v>59027</v>
      </c>
      <c r="F449" s="5">
        <v>-61.85</v>
      </c>
      <c r="H449"/>
      <c r="J449" s="6">
        <v>51753</v>
      </c>
      <c r="K449" s="12">
        <v>2349.8552879751469</v>
      </c>
      <c r="M449">
        <f t="shared" si="12"/>
        <v>7274</v>
      </c>
      <c r="N449" s="13">
        <f t="shared" si="13"/>
        <v>-37.99</v>
      </c>
      <c r="P449" s="14" t="s">
        <v>117</v>
      </c>
    </row>
    <row r="450" spans="1:16" x14ac:dyDescent="0.25">
      <c r="A450" s="1" t="s">
        <v>611</v>
      </c>
      <c r="B450" s="1" t="s">
        <v>66</v>
      </c>
      <c r="C450" t="s">
        <v>67</v>
      </c>
      <c r="E450" s="4">
        <v>51102</v>
      </c>
      <c r="F450" s="5">
        <v>-67.319999999999993</v>
      </c>
      <c r="G450" s="10" t="s">
        <v>73</v>
      </c>
      <c r="H450"/>
      <c r="J450" s="6">
        <v>51102</v>
      </c>
      <c r="K450" s="12">
        <v>-67.764550866941619</v>
      </c>
      <c r="M450">
        <f t="shared" ref="M450:M513" si="14">E450-J450</f>
        <v>0</v>
      </c>
      <c r="N450" s="13">
        <f t="shared" ref="N450:N513" si="15">ROUND(K450/F450,2)</f>
        <v>1.01</v>
      </c>
      <c r="P450" s="14" t="s">
        <v>117</v>
      </c>
    </row>
    <row r="451" spans="1:16" x14ac:dyDescent="0.25">
      <c r="A451" s="1" t="s">
        <v>612</v>
      </c>
      <c r="B451" s="1" t="s">
        <v>66</v>
      </c>
      <c r="C451" t="s">
        <v>67</v>
      </c>
      <c r="E451" s="4">
        <v>65241</v>
      </c>
      <c r="F451" s="5">
        <v>-405.88</v>
      </c>
      <c r="H451"/>
      <c r="J451" s="6">
        <v>65241</v>
      </c>
      <c r="K451" s="12">
        <v>-404.55069252782732</v>
      </c>
      <c r="M451">
        <f t="shared" si="14"/>
        <v>0</v>
      </c>
      <c r="N451" s="13">
        <f t="shared" si="15"/>
        <v>1</v>
      </c>
      <c r="P451" s="14" t="s">
        <v>117</v>
      </c>
    </row>
    <row r="452" spans="1:16" x14ac:dyDescent="0.25">
      <c r="A452" s="1" t="s">
        <v>613</v>
      </c>
      <c r="B452" s="1" t="s">
        <v>614</v>
      </c>
      <c r="C452" t="s">
        <v>615</v>
      </c>
      <c r="E452" s="4">
        <v>49126</v>
      </c>
      <c r="F452" s="5">
        <v>-15.01</v>
      </c>
      <c r="G452" s="10" t="s">
        <v>73</v>
      </c>
      <c r="H452"/>
      <c r="J452" s="6">
        <v>49491</v>
      </c>
      <c r="K452" s="12">
        <v>-50.386148125789788</v>
      </c>
      <c r="M452">
        <f t="shared" si="14"/>
        <v>-365</v>
      </c>
      <c r="N452" s="13">
        <f t="shared" si="15"/>
        <v>3.36</v>
      </c>
      <c r="P452" s="14" t="s">
        <v>170</v>
      </c>
    </row>
    <row r="453" spans="1:16" x14ac:dyDescent="0.25">
      <c r="A453" s="1" t="s">
        <v>616</v>
      </c>
      <c r="B453" s="1" t="s">
        <v>66</v>
      </c>
      <c r="C453" t="s">
        <v>67</v>
      </c>
      <c r="E453" s="4">
        <v>51724</v>
      </c>
      <c r="F453" s="5">
        <v>-44.03</v>
      </c>
      <c r="G453" s="10" t="s">
        <v>73</v>
      </c>
      <c r="H453"/>
      <c r="J453" s="6">
        <v>51724</v>
      </c>
      <c r="K453" s="12">
        <v>-44.436755268467728</v>
      </c>
      <c r="M453">
        <f t="shared" si="14"/>
        <v>0</v>
      </c>
      <c r="N453" s="13">
        <f t="shared" si="15"/>
        <v>1.01</v>
      </c>
      <c r="P453" s="14" t="s">
        <v>117</v>
      </c>
    </row>
    <row r="454" spans="1:16" x14ac:dyDescent="0.25">
      <c r="A454" s="1" t="s">
        <v>617</v>
      </c>
      <c r="B454" s="1" t="s">
        <v>66</v>
      </c>
      <c r="C454" t="s">
        <v>67</v>
      </c>
      <c r="E454" s="4">
        <v>52057</v>
      </c>
      <c r="F454" s="5">
        <v>-150.37</v>
      </c>
      <c r="G454" s="10" t="s">
        <v>618</v>
      </c>
      <c r="H454"/>
      <c r="J454" s="6">
        <v>52027</v>
      </c>
      <c r="K454" s="12">
        <v>-208.35074841227461</v>
      </c>
      <c r="M454">
        <f t="shared" si="14"/>
        <v>30</v>
      </c>
      <c r="N454" s="13">
        <f t="shared" si="15"/>
        <v>1.39</v>
      </c>
      <c r="P454" s="14"/>
    </row>
    <row r="455" spans="1:16" x14ac:dyDescent="0.25">
      <c r="A455" s="1" t="s">
        <v>619</v>
      </c>
      <c r="B455" s="1" t="s">
        <v>66</v>
      </c>
      <c r="C455" t="s">
        <v>67</v>
      </c>
      <c r="E455" s="4">
        <v>50496</v>
      </c>
      <c r="F455" s="5">
        <v>-259.58</v>
      </c>
      <c r="H455"/>
      <c r="J455" s="6">
        <v>50496</v>
      </c>
      <c r="K455" s="12">
        <v>-262.36742402681779</v>
      </c>
      <c r="M455">
        <f t="shared" si="14"/>
        <v>0</v>
      </c>
      <c r="N455" s="13">
        <f t="shared" si="15"/>
        <v>1.01</v>
      </c>
      <c r="P455" s="14" t="s">
        <v>117</v>
      </c>
    </row>
    <row r="456" spans="1:16" x14ac:dyDescent="0.25">
      <c r="A456" s="1" t="s">
        <v>620</v>
      </c>
      <c r="B456" s="1" t="s">
        <v>66</v>
      </c>
      <c r="C456" t="s">
        <v>67</v>
      </c>
      <c r="E456" s="4">
        <v>61149</v>
      </c>
      <c r="F456" s="5">
        <v>-49.18</v>
      </c>
      <c r="G456" s="10" t="s">
        <v>621</v>
      </c>
      <c r="H456"/>
      <c r="J456" s="6">
        <v>61057</v>
      </c>
      <c r="K456" s="12">
        <v>-9.5903732834173923</v>
      </c>
      <c r="M456">
        <f t="shared" si="14"/>
        <v>92</v>
      </c>
      <c r="N456" s="13">
        <f t="shared" si="15"/>
        <v>0.2</v>
      </c>
      <c r="P456" s="14"/>
    </row>
    <row r="457" spans="1:16" x14ac:dyDescent="0.25">
      <c r="A457" s="1" t="s">
        <v>622</v>
      </c>
      <c r="B457" s="1" t="s">
        <v>69</v>
      </c>
      <c r="C457" t="s">
        <v>70</v>
      </c>
      <c r="E457" s="4">
        <v>55357</v>
      </c>
      <c r="F457" s="5">
        <v>-9.5</v>
      </c>
      <c r="G457" s="10" t="s">
        <v>73</v>
      </c>
      <c r="H457"/>
      <c r="J457" s="6">
        <v>55357</v>
      </c>
      <c r="K457" s="12">
        <v>-12.54449427151707</v>
      </c>
      <c r="M457">
        <f t="shared" si="14"/>
        <v>0</v>
      </c>
      <c r="N457" s="13">
        <f t="shared" si="15"/>
        <v>1.32</v>
      </c>
      <c r="P457" s="14" t="s">
        <v>117</v>
      </c>
    </row>
    <row r="458" spans="1:16" x14ac:dyDescent="0.25">
      <c r="A458" s="1" t="s">
        <v>623</v>
      </c>
      <c r="B458" s="1" t="s">
        <v>69</v>
      </c>
      <c r="C458" t="s">
        <v>70</v>
      </c>
      <c r="E458" s="4">
        <v>48324</v>
      </c>
      <c r="F458" s="5">
        <v>-14.96</v>
      </c>
      <c r="H458"/>
      <c r="J458" s="6">
        <v>48324</v>
      </c>
      <c r="K458" s="12">
        <v>-15.28228359736552</v>
      </c>
      <c r="M458">
        <f t="shared" si="14"/>
        <v>0</v>
      </c>
      <c r="N458" s="13">
        <f t="shared" si="15"/>
        <v>1.02</v>
      </c>
      <c r="P458" s="14" t="s">
        <v>117</v>
      </c>
    </row>
    <row r="459" spans="1:16" x14ac:dyDescent="0.25">
      <c r="A459" s="1" t="s">
        <v>624</v>
      </c>
      <c r="B459" s="1" t="s">
        <v>69</v>
      </c>
      <c r="C459" t="s">
        <v>70</v>
      </c>
      <c r="E459" s="4">
        <v>52067</v>
      </c>
      <c r="F459" s="5">
        <v>-116.23</v>
      </c>
      <c r="H459"/>
      <c r="J459" s="6">
        <v>52067</v>
      </c>
      <c r="K459" s="12">
        <v>-117.2217708202481</v>
      </c>
      <c r="M459">
        <f t="shared" si="14"/>
        <v>0</v>
      </c>
      <c r="N459" s="13">
        <f t="shared" si="15"/>
        <v>1.01</v>
      </c>
      <c r="P459" s="14" t="s">
        <v>117</v>
      </c>
    </row>
    <row r="460" spans="1:16" x14ac:dyDescent="0.25">
      <c r="A460" s="1" t="s">
        <v>625</v>
      </c>
      <c r="B460" s="1" t="s">
        <v>547</v>
      </c>
      <c r="C460" t="s">
        <v>548</v>
      </c>
      <c r="E460" s="4">
        <v>69008</v>
      </c>
      <c r="F460" s="5">
        <v>11717.24</v>
      </c>
      <c r="G460" s="10" t="s">
        <v>621</v>
      </c>
      <c r="H460"/>
      <c r="J460" s="6">
        <v>69008</v>
      </c>
      <c r="K460" s="12">
        <v>10082.528068459271</v>
      </c>
      <c r="M460">
        <f t="shared" si="14"/>
        <v>0</v>
      </c>
      <c r="N460" s="13">
        <f t="shared" si="15"/>
        <v>0.86</v>
      </c>
      <c r="P460" s="14"/>
    </row>
    <row r="461" spans="1:16" x14ac:dyDescent="0.25">
      <c r="A461" s="1" t="s">
        <v>626</v>
      </c>
      <c r="B461" s="1" t="s">
        <v>547</v>
      </c>
      <c r="C461" t="s">
        <v>548</v>
      </c>
      <c r="E461" s="4">
        <v>65294</v>
      </c>
      <c r="F461" s="5">
        <v>-23.6</v>
      </c>
      <c r="G461" s="10" t="s">
        <v>621</v>
      </c>
      <c r="H461"/>
      <c r="J461" s="6">
        <v>65141</v>
      </c>
      <c r="K461" s="12">
        <v>-37.449323908539668</v>
      </c>
      <c r="M461">
        <f t="shared" si="14"/>
        <v>153</v>
      </c>
      <c r="N461" s="13">
        <f t="shared" si="15"/>
        <v>1.59</v>
      </c>
      <c r="P461" s="14"/>
    </row>
    <row r="462" spans="1:16" x14ac:dyDescent="0.25">
      <c r="A462" s="1" t="s">
        <v>627</v>
      </c>
      <c r="B462" s="1" t="s">
        <v>69</v>
      </c>
      <c r="C462" t="s">
        <v>70</v>
      </c>
      <c r="E462" s="4">
        <v>49378</v>
      </c>
      <c r="F462" s="5">
        <v>-5.75</v>
      </c>
      <c r="G462" s="10" t="s">
        <v>520</v>
      </c>
      <c r="H462"/>
      <c r="J462" s="6">
        <v>49470</v>
      </c>
      <c r="K462" s="12">
        <v>-66.193387255330322</v>
      </c>
      <c r="M462">
        <f t="shared" si="14"/>
        <v>-92</v>
      </c>
      <c r="N462" s="13">
        <f t="shared" si="15"/>
        <v>11.51</v>
      </c>
      <c r="P462" s="14" t="s">
        <v>117</v>
      </c>
    </row>
    <row r="463" spans="1:16" x14ac:dyDescent="0.25">
      <c r="A463" s="1" t="s">
        <v>628</v>
      </c>
      <c r="B463" s="1" t="s">
        <v>66</v>
      </c>
      <c r="C463" t="s">
        <v>67</v>
      </c>
      <c r="E463" s="4">
        <v>67856</v>
      </c>
      <c r="F463" s="5">
        <v>-228.6</v>
      </c>
      <c r="H463"/>
      <c r="J463" s="6">
        <v>67856</v>
      </c>
      <c r="K463" s="12">
        <v>-231.31188634849511</v>
      </c>
      <c r="M463">
        <f t="shared" si="14"/>
        <v>0</v>
      </c>
      <c r="N463" s="13">
        <f t="shared" si="15"/>
        <v>1.01</v>
      </c>
      <c r="P463" s="14" t="s">
        <v>117</v>
      </c>
    </row>
    <row r="464" spans="1:16" x14ac:dyDescent="0.25">
      <c r="A464" s="1" t="s">
        <v>629</v>
      </c>
      <c r="B464" s="1" t="s">
        <v>69</v>
      </c>
      <c r="C464" t="s">
        <v>70</v>
      </c>
      <c r="E464" s="4">
        <v>50774</v>
      </c>
      <c r="F464" s="5">
        <v>-21.43</v>
      </c>
      <c r="G464" s="10" t="s">
        <v>73</v>
      </c>
      <c r="H464"/>
      <c r="J464" s="6">
        <v>50774</v>
      </c>
      <c r="K464" s="12">
        <v>-21.696718294017298</v>
      </c>
      <c r="M464">
        <f t="shared" si="14"/>
        <v>0</v>
      </c>
      <c r="N464" s="13">
        <f t="shared" si="15"/>
        <v>1.01</v>
      </c>
      <c r="P464" s="14" t="s">
        <v>117</v>
      </c>
    </row>
    <row r="465" spans="1:16" x14ac:dyDescent="0.25">
      <c r="A465" s="1" t="s">
        <v>630</v>
      </c>
      <c r="B465" s="1" t="s">
        <v>69</v>
      </c>
      <c r="C465" t="s">
        <v>70</v>
      </c>
      <c r="E465" s="4">
        <v>51854</v>
      </c>
      <c r="F465" s="5">
        <v>-137.72</v>
      </c>
      <c r="H465"/>
      <c r="J465" s="6">
        <v>51854</v>
      </c>
      <c r="K465" s="12">
        <v>-139.6563012125284</v>
      </c>
      <c r="M465">
        <f t="shared" si="14"/>
        <v>0</v>
      </c>
      <c r="N465" s="13">
        <f t="shared" si="15"/>
        <v>1.01</v>
      </c>
      <c r="P465" s="14" t="s">
        <v>117</v>
      </c>
    </row>
    <row r="466" spans="1:16" x14ac:dyDescent="0.25">
      <c r="A466" s="1" t="s">
        <v>631</v>
      </c>
      <c r="B466" s="1" t="s">
        <v>66</v>
      </c>
      <c r="C466" t="s">
        <v>67</v>
      </c>
      <c r="E466" s="4">
        <v>65532</v>
      </c>
      <c r="F466" s="5">
        <v>-82.68</v>
      </c>
      <c r="H466"/>
      <c r="J466" s="6">
        <v>65532</v>
      </c>
      <c r="K466" s="12">
        <v>-83.180938517967547</v>
      </c>
      <c r="M466">
        <f t="shared" si="14"/>
        <v>0</v>
      </c>
      <c r="N466" s="13">
        <f t="shared" si="15"/>
        <v>1.01</v>
      </c>
      <c r="P466" s="14" t="s">
        <v>117</v>
      </c>
    </row>
    <row r="467" spans="1:16" x14ac:dyDescent="0.25">
      <c r="A467" s="1" t="s">
        <v>632</v>
      </c>
      <c r="B467" s="1" t="s">
        <v>66</v>
      </c>
      <c r="C467" t="s">
        <v>67</v>
      </c>
      <c r="E467" s="4">
        <v>53814</v>
      </c>
      <c r="F467" s="5">
        <v>-105.54</v>
      </c>
      <c r="H467"/>
      <c r="J467" s="6">
        <v>53814</v>
      </c>
      <c r="K467" s="12">
        <v>-106.11970876521249</v>
      </c>
      <c r="M467">
        <f t="shared" si="14"/>
        <v>0</v>
      </c>
      <c r="N467" s="13">
        <f t="shared" si="15"/>
        <v>1.01</v>
      </c>
      <c r="P467" s="14" t="s">
        <v>117</v>
      </c>
    </row>
    <row r="468" spans="1:16" x14ac:dyDescent="0.25">
      <c r="A468" s="1" t="s">
        <v>633</v>
      </c>
      <c r="B468" s="1" t="s">
        <v>69</v>
      </c>
      <c r="C468" t="s">
        <v>70</v>
      </c>
      <c r="E468" s="4">
        <v>46888</v>
      </c>
      <c r="F468" s="5">
        <v>-80.31</v>
      </c>
      <c r="G468" s="10" t="s">
        <v>634</v>
      </c>
      <c r="H468"/>
      <c r="J468" s="6">
        <v>46888</v>
      </c>
      <c r="K468" s="12">
        <v>-80.374160738152511</v>
      </c>
      <c r="M468">
        <f t="shared" si="14"/>
        <v>0</v>
      </c>
      <c r="N468" s="13">
        <f t="shared" si="15"/>
        <v>1</v>
      </c>
      <c r="P468" s="14" t="s">
        <v>117</v>
      </c>
    </row>
    <row r="469" spans="1:16" x14ac:dyDescent="0.25">
      <c r="A469" s="1" t="s">
        <v>635</v>
      </c>
      <c r="B469" s="1" t="s">
        <v>66</v>
      </c>
      <c r="C469" t="s">
        <v>67</v>
      </c>
      <c r="E469" s="4">
        <v>60920</v>
      </c>
      <c r="F469" s="5">
        <v>-163.63999999999999</v>
      </c>
      <c r="H469"/>
      <c r="J469" s="6">
        <v>60920</v>
      </c>
      <c r="K469" s="12">
        <v>-165.20460583850621</v>
      </c>
      <c r="M469">
        <f t="shared" si="14"/>
        <v>0</v>
      </c>
      <c r="N469" s="13">
        <f t="shared" si="15"/>
        <v>1.01</v>
      </c>
      <c r="P469" s="14" t="s">
        <v>117</v>
      </c>
    </row>
    <row r="470" spans="1:16" x14ac:dyDescent="0.25">
      <c r="A470" s="1" t="s">
        <v>636</v>
      </c>
      <c r="B470" s="1" t="s">
        <v>69</v>
      </c>
      <c r="C470" t="s">
        <v>70</v>
      </c>
      <c r="E470" s="4">
        <v>49126</v>
      </c>
      <c r="F470" s="5">
        <v>-182.82</v>
      </c>
      <c r="G470" s="10" t="s">
        <v>503</v>
      </c>
      <c r="H470"/>
      <c r="J470" s="6">
        <v>49218</v>
      </c>
      <c r="K470" s="12">
        <v>-80.389652563115249</v>
      </c>
      <c r="M470">
        <f t="shared" si="14"/>
        <v>-92</v>
      </c>
      <c r="N470" s="13">
        <f t="shared" si="15"/>
        <v>0.44</v>
      </c>
      <c r="P470" s="14" t="s">
        <v>117</v>
      </c>
    </row>
    <row r="471" spans="1:16" x14ac:dyDescent="0.25">
      <c r="A471" s="1" t="s">
        <v>637</v>
      </c>
      <c r="B471" s="1" t="s">
        <v>58</v>
      </c>
      <c r="C471" t="s">
        <v>54</v>
      </c>
      <c r="E471" s="4">
        <v>47583</v>
      </c>
      <c r="F471" s="5">
        <v>-3.23</v>
      </c>
      <c r="H471"/>
      <c r="J471" s="6">
        <v>47583</v>
      </c>
      <c r="K471" s="12">
        <v>-3.2526900398872982</v>
      </c>
      <c r="M471">
        <f t="shared" si="14"/>
        <v>0</v>
      </c>
      <c r="N471" s="13">
        <f t="shared" si="15"/>
        <v>1.01</v>
      </c>
      <c r="P471" s="14" t="s">
        <v>117</v>
      </c>
    </row>
    <row r="472" spans="1:16" x14ac:dyDescent="0.25">
      <c r="A472" s="1" t="s">
        <v>638</v>
      </c>
      <c r="B472" s="1" t="s">
        <v>66</v>
      </c>
      <c r="C472" t="s">
        <v>67</v>
      </c>
      <c r="E472" s="4">
        <v>46558</v>
      </c>
      <c r="F472" s="5">
        <v>-5.79</v>
      </c>
      <c r="H472"/>
      <c r="J472" s="6">
        <v>46558</v>
      </c>
      <c r="K472" s="12">
        <v>-5.8384385458564907</v>
      </c>
      <c r="M472">
        <f t="shared" si="14"/>
        <v>0</v>
      </c>
      <c r="N472" s="13">
        <f t="shared" si="15"/>
        <v>1.01</v>
      </c>
      <c r="P472" s="14" t="s">
        <v>117</v>
      </c>
    </row>
    <row r="473" spans="1:16" x14ac:dyDescent="0.25">
      <c r="A473" s="1" t="s">
        <v>639</v>
      </c>
      <c r="B473" s="1" t="s">
        <v>69</v>
      </c>
      <c r="C473" t="s">
        <v>70</v>
      </c>
      <c r="E473" s="4">
        <v>46341</v>
      </c>
      <c r="F473" s="5">
        <v>-26.5</v>
      </c>
      <c r="H473"/>
      <c r="J473" s="6">
        <v>46341</v>
      </c>
      <c r="K473" s="12">
        <v>-26.50779902184556</v>
      </c>
      <c r="M473">
        <f t="shared" si="14"/>
        <v>0</v>
      </c>
      <c r="N473" s="13">
        <f t="shared" si="15"/>
        <v>1</v>
      </c>
      <c r="P473" s="14" t="s">
        <v>117</v>
      </c>
    </row>
    <row r="474" spans="1:16" x14ac:dyDescent="0.25">
      <c r="A474" s="1" t="s">
        <v>640</v>
      </c>
      <c r="B474" s="1" t="s">
        <v>66</v>
      </c>
      <c r="C474" t="s">
        <v>67</v>
      </c>
      <c r="E474" s="4">
        <v>55445</v>
      </c>
      <c r="F474" s="5">
        <v>-109.17</v>
      </c>
      <c r="H474"/>
      <c r="J474" s="6">
        <v>55445</v>
      </c>
      <c r="K474" s="12">
        <v>-110.5452099088333</v>
      </c>
      <c r="M474">
        <f t="shared" si="14"/>
        <v>0</v>
      </c>
      <c r="N474" s="13">
        <f t="shared" si="15"/>
        <v>1.01</v>
      </c>
      <c r="P474" s="14" t="s">
        <v>117</v>
      </c>
    </row>
    <row r="475" spans="1:16" x14ac:dyDescent="0.25">
      <c r="A475" s="1" t="s">
        <v>641</v>
      </c>
      <c r="B475" s="1" t="s">
        <v>66</v>
      </c>
      <c r="C475" t="s">
        <v>67</v>
      </c>
      <c r="E475" s="4">
        <v>64255</v>
      </c>
      <c r="F475" s="5">
        <v>-87.39</v>
      </c>
      <c r="H475"/>
      <c r="J475" s="6">
        <v>64255</v>
      </c>
      <c r="K475" s="12">
        <v>-88.276130106755488</v>
      </c>
      <c r="M475">
        <f t="shared" si="14"/>
        <v>0</v>
      </c>
      <c r="N475" s="13">
        <f t="shared" si="15"/>
        <v>1.01</v>
      </c>
      <c r="P475" s="14" t="s">
        <v>117</v>
      </c>
    </row>
    <row r="476" spans="1:16" x14ac:dyDescent="0.25">
      <c r="A476" s="1" t="s">
        <v>642</v>
      </c>
      <c r="B476" s="1" t="s">
        <v>66</v>
      </c>
      <c r="C476" t="s">
        <v>67</v>
      </c>
      <c r="E476" s="4">
        <v>54588</v>
      </c>
      <c r="F476" s="5">
        <v>-12.54</v>
      </c>
      <c r="H476"/>
      <c r="J476" s="6">
        <v>54588</v>
      </c>
      <c r="K476" s="12">
        <v>-12.71078579217513</v>
      </c>
      <c r="M476">
        <f t="shared" si="14"/>
        <v>0</v>
      </c>
      <c r="N476" s="13">
        <f t="shared" si="15"/>
        <v>1.01</v>
      </c>
      <c r="P476" s="14" t="s">
        <v>117</v>
      </c>
    </row>
    <row r="477" spans="1:16" x14ac:dyDescent="0.25">
      <c r="A477" s="1" t="s">
        <v>643</v>
      </c>
      <c r="B477" s="1" t="s">
        <v>66</v>
      </c>
      <c r="C477" t="s">
        <v>67</v>
      </c>
      <c r="E477" s="4">
        <v>46204</v>
      </c>
      <c r="F477" s="5">
        <v>-172.64</v>
      </c>
      <c r="G477" s="10" t="s">
        <v>560</v>
      </c>
      <c r="H477"/>
      <c r="J477" s="6">
        <v>46204</v>
      </c>
      <c r="K477" s="12">
        <v>-172.6383788262365</v>
      </c>
      <c r="M477">
        <f t="shared" si="14"/>
        <v>0</v>
      </c>
      <c r="N477" s="13">
        <f t="shared" si="15"/>
        <v>1</v>
      </c>
      <c r="P477" s="14" t="s">
        <v>117</v>
      </c>
    </row>
    <row r="478" spans="1:16" x14ac:dyDescent="0.25">
      <c r="A478" s="1" t="s">
        <v>644</v>
      </c>
      <c r="B478" s="1" t="s">
        <v>66</v>
      </c>
      <c r="C478" t="s">
        <v>67</v>
      </c>
      <c r="E478" s="4">
        <v>49500</v>
      </c>
      <c r="F478" s="5">
        <v>-51.16</v>
      </c>
      <c r="H478"/>
      <c r="J478" s="6">
        <v>49500</v>
      </c>
      <c r="K478" s="12">
        <v>-51.445474554897189</v>
      </c>
      <c r="M478">
        <f t="shared" si="14"/>
        <v>0</v>
      </c>
      <c r="N478" s="13">
        <f t="shared" si="15"/>
        <v>1.01</v>
      </c>
      <c r="P478" s="14" t="s">
        <v>117</v>
      </c>
    </row>
    <row r="479" spans="1:16" x14ac:dyDescent="0.25">
      <c r="A479" s="1" t="s">
        <v>645</v>
      </c>
      <c r="B479" s="1" t="s">
        <v>69</v>
      </c>
      <c r="C479" t="s">
        <v>70</v>
      </c>
      <c r="E479" s="4">
        <v>51338</v>
      </c>
      <c r="F479" s="5">
        <v>-21.43</v>
      </c>
      <c r="G479" s="10" t="s">
        <v>646</v>
      </c>
      <c r="H479"/>
      <c r="J479" s="6">
        <v>51338</v>
      </c>
      <c r="K479" s="12">
        <v>-22.876063136993508</v>
      </c>
      <c r="M479">
        <f t="shared" si="14"/>
        <v>0</v>
      </c>
      <c r="N479" s="13">
        <f t="shared" si="15"/>
        <v>1.07</v>
      </c>
      <c r="P479" s="14" t="s">
        <v>117</v>
      </c>
    </row>
    <row r="480" spans="1:16" x14ac:dyDescent="0.25">
      <c r="A480" s="1" t="s">
        <v>647</v>
      </c>
      <c r="B480" s="1" t="s">
        <v>66</v>
      </c>
      <c r="C480" t="s">
        <v>67</v>
      </c>
      <c r="E480" s="4">
        <v>49409</v>
      </c>
      <c r="F480" s="5">
        <v>-117.66</v>
      </c>
      <c r="H480"/>
      <c r="J480" s="6">
        <v>49409</v>
      </c>
      <c r="K480" s="12">
        <v>-118.1206125449777</v>
      </c>
      <c r="M480">
        <f t="shared" si="14"/>
        <v>0</v>
      </c>
      <c r="N480" s="13">
        <f t="shared" si="15"/>
        <v>1</v>
      </c>
      <c r="P480" s="14" t="s">
        <v>117</v>
      </c>
    </row>
    <row r="481" spans="1:16" x14ac:dyDescent="0.25">
      <c r="A481" s="1" t="s">
        <v>648</v>
      </c>
      <c r="B481" s="1" t="s">
        <v>66</v>
      </c>
      <c r="C481" t="s">
        <v>67</v>
      </c>
      <c r="E481" s="4">
        <v>53936</v>
      </c>
      <c r="F481" s="5">
        <v>-428.11</v>
      </c>
      <c r="H481"/>
      <c r="J481" s="6">
        <v>53936</v>
      </c>
      <c r="K481" s="12">
        <v>-438.3006127565842</v>
      </c>
      <c r="M481">
        <f t="shared" si="14"/>
        <v>0</v>
      </c>
      <c r="N481" s="13">
        <f t="shared" si="15"/>
        <v>1.02</v>
      </c>
      <c r="P481" s="14" t="s">
        <v>117</v>
      </c>
    </row>
    <row r="482" spans="1:16" x14ac:dyDescent="0.25">
      <c r="A482" s="1" t="s">
        <v>649</v>
      </c>
      <c r="B482" s="1" t="s">
        <v>66</v>
      </c>
      <c r="C482" t="s">
        <v>67</v>
      </c>
      <c r="E482" s="4">
        <v>49080</v>
      </c>
      <c r="F482" s="5">
        <v>-398.63</v>
      </c>
      <c r="H482"/>
      <c r="J482" s="6">
        <v>49080</v>
      </c>
      <c r="K482" s="12">
        <v>-401.1044610674158</v>
      </c>
      <c r="M482">
        <f t="shared" si="14"/>
        <v>0</v>
      </c>
      <c r="N482" s="13">
        <f t="shared" si="15"/>
        <v>1.01</v>
      </c>
      <c r="P482" s="14" t="s">
        <v>117</v>
      </c>
    </row>
    <row r="483" spans="1:16" x14ac:dyDescent="0.25">
      <c r="A483" s="1" t="s">
        <v>650</v>
      </c>
      <c r="B483" s="1" t="s">
        <v>66</v>
      </c>
      <c r="C483" t="s">
        <v>67</v>
      </c>
      <c r="E483" s="4">
        <v>62141</v>
      </c>
      <c r="F483" s="5">
        <v>-84.57</v>
      </c>
      <c r="H483"/>
      <c r="J483" s="6">
        <v>62141</v>
      </c>
      <c r="K483" s="12">
        <v>-89.684076356091339</v>
      </c>
      <c r="M483">
        <f t="shared" si="14"/>
        <v>0</v>
      </c>
      <c r="N483" s="13">
        <f t="shared" si="15"/>
        <v>1.06</v>
      </c>
      <c r="P483" s="14" t="s">
        <v>117</v>
      </c>
    </row>
    <row r="484" spans="1:16" x14ac:dyDescent="0.25">
      <c r="A484" s="1" t="s">
        <v>651</v>
      </c>
      <c r="B484" s="1" t="s">
        <v>66</v>
      </c>
      <c r="C484" t="s">
        <v>67</v>
      </c>
      <c r="E484" s="4">
        <v>67223</v>
      </c>
      <c r="F484" s="5">
        <v>-546.41999999999996</v>
      </c>
      <c r="H484"/>
      <c r="J484" s="6">
        <v>67192</v>
      </c>
      <c r="K484" s="12">
        <v>-9.9285012901050322</v>
      </c>
      <c r="M484">
        <f t="shared" si="14"/>
        <v>31</v>
      </c>
      <c r="N484" s="13">
        <f t="shared" si="15"/>
        <v>0.02</v>
      </c>
      <c r="P484" s="14" t="s">
        <v>117</v>
      </c>
    </row>
    <row r="485" spans="1:16" x14ac:dyDescent="0.25">
      <c r="A485" s="1" t="s">
        <v>652</v>
      </c>
      <c r="B485" s="1" t="s">
        <v>66</v>
      </c>
      <c r="C485" t="s">
        <v>67</v>
      </c>
      <c r="E485" s="4">
        <v>58365</v>
      </c>
      <c r="F485" s="5">
        <v>-19.7</v>
      </c>
      <c r="H485"/>
      <c r="J485" s="6">
        <v>58365</v>
      </c>
      <c r="K485" s="12">
        <v>-21.69465843171983</v>
      </c>
      <c r="M485">
        <f t="shared" si="14"/>
        <v>0</v>
      </c>
      <c r="N485" s="13">
        <f t="shared" si="15"/>
        <v>1.1000000000000001</v>
      </c>
      <c r="P485" s="14" t="s">
        <v>117</v>
      </c>
    </row>
    <row r="486" spans="1:16" x14ac:dyDescent="0.25">
      <c r="A486" s="1" t="s">
        <v>653</v>
      </c>
      <c r="B486" s="1" t="s">
        <v>69</v>
      </c>
      <c r="C486" t="s">
        <v>70</v>
      </c>
      <c r="E486" s="4">
        <v>46580</v>
      </c>
      <c r="F486" s="5">
        <v>-21.89</v>
      </c>
      <c r="H486"/>
      <c r="J486" s="6">
        <v>46580</v>
      </c>
      <c r="K486" s="12">
        <v>-21.853937853327619</v>
      </c>
      <c r="M486">
        <f t="shared" si="14"/>
        <v>0</v>
      </c>
      <c r="N486" s="13">
        <f t="shared" si="15"/>
        <v>1</v>
      </c>
      <c r="P486" s="14" t="s">
        <v>117</v>
      </c>
    </row>
    <row r="487" spans="1:16" x14ac:dyDescent="0.25">
      <c r="A487" s="1" t="s">
        <v>654</v>
      </c>
      <c r="B487" s="1" t="s">
        <v>69</v>
      </c>
      <c r="C487" t="s">
        <v>70</v>
      </c>
      <c r="E487" s="4">
        <v>50065</v>
      </c>
      <c r="F487" s="5">
        <v>-183.62</v>
      </c>
      <c r="H487"/>
      <c r="J487" s="6">
        <v>50065</v>
      </c>
      <c r="K487" s="12">
        <v>-185.14465784509409</v>
      </c>
      <c r="M487">
        <f t="shared" si="14"/>
        <v>0</v>
      </c>
      <c r="N487" s="13">
        <f t="shared" si="15"/>
        <v>1.01</v>
      </c>
      <c r="P487" s="14" t="s">
        <v>117</v>
      </c>
    </row>
    <row r="488" spans="1:16" x14ac:dyDescent="0.25">
      <c r="A488" s="1" t="s">
        <v>655</v>
      </c>
      <c r="B488" s="1" t="s">
        <v>69</v>
      </c>
      <c r="C488" t="s">
        <v>70</v>
      </c>
      <c r="E488" s="4">
        <v>46816</v>
      </c>
      <c r="F488" s="5">
        <v>-4.91</v>
      </c>
      <c r="H488"/>
      <c r="J488" s="6">
        <v>46816</v>
      </c>
      <c r="K488" s="12">
        <v>-5.0224575806764733</v>
      </c>
      <c r="M488">
        <f t="shared" si="14"/>
        <v>0</v>
      </c>
      <c r="N488" s="13">
        <f t="shared" si="15"/>
        <v>1.02</v>
      </c>
      <c r="P488" s="14" t="s">
        <v>117</v>
      </c>
    </row>
    <row r="489" spans="1:16" x14ac:dyDescent="0.25">
      <c r="A489" s="1" t="s">
        <v>656</v>
      </c>
      <c r="B489" s="1" t="s">
        <v>69</v>
      </c>
      <c r="C489" t="s">
        <v>70</v>
      </c>
      <c r="E489" s="4">
        <v>46291</v>
      </c>
      <c r="F489" s="5">
        <v>-53.42</v>
      </c>
      <c r="H489"/>
      <c r="J489" s="6">
        <v>46291</v>
      </c>
      <c r="K489" s="12">
        <v>-53.436447065090249</v>
      </c>
      <c r="M489">
        <f t="shared" si="14"/>
        <v>0</v>
      </c>
      <c r="N489" s="13">
        <f t="shared" si="15"/>
        <v>1</v>
      </c>
      <c r="P489" s="14" t="s">
        <v>117</v>
      </c>
    </row>
    <row r="490" spans="1:16" x14ac:dyDescent="0.25">
      <c r="A490" s="1" t="s">
        <v>657</v>
      </c>
      <c r="B490" s="1" t="s">
        <v>66</v>
      </c>
      <c r="C490" t="s">
        <v>67</v>
      </c>
      <c r="E490" s="4">
        <v>67693</v>
      </c>
      <c r="F490" s="5">
        <v>-213.38</v>
      </c>
      <c r="G490" s="10" t="s">
        <v>73</v>
      </c>
      <c r="H490"/>
      <c r="J490" s="6">
        <v>67693</v>
      </c>
      <c r="K490" s="12">
        <v>-215.08371361051209</v>
      </c>
      <c r="M490">
        <f t="shared" si="14"/>
        <v>0</v>
      </c>
      <c r="N490" s="13">
        <f t="shared" si="15"/>
        <v>1.01</v>
      </c>
      <c r="P490" s="14" t="s">
        <v>117</v>
      </c>
    </row>
    <row r="491" spans="1:16" x14ac:dyDescent="0.25">
      <c r="A491" s="1" t="s">
        <v>658</v>
      </c>
      <c r="B491" s="1" t="s">
        <v>66</v>
      </c>
      <c r="C491" t="s">
        <v>67</v>
      </c>
      <c r="E491" s="4">
        <v>68303</v>
      </c>
      <c r="F491" s="5">
        <v>-518.33000000000004</v>
      </c>
      <c r="G491" s="10" t="s">
        <v>73</v>
      </c>
      <c r="H491"/>
      <c r="J491" s="6">
        <v>68303</v>
      </c>
      <c r="K491" s="12">
        <v>-520.14114453054572</v>
      </c>
      <c r="M491">
        <f t="shared" si="14"/>
        <v>0</v>
      </c>
      <c r="N491" s="13">
        <f t="shared" si="15"/>
        <v>1</v>
      </c>
      <c r="P491" s="14" t="s">
        <v>117</v>
      </c>
    </row>
    <row r="492" spans="1:16" x14ac:dyDescent="0.25">
      <c r="A492" s="1" t="s">
        <v>659</v>
      </c>
      <c r="B492" s="1" t="s">
        <v>69</v>
      </c>
      <c r="C492" t="s">
        <v>70</v>
      </c>
      <c r="E492" s="4">
        <v>49857</v>
      </c>
      <c r="F492" s="5">
        <v>-21.04</v>
      </c>
      <c r="G492" s="10" t="s">
        <v>73</v>
      </c>
      <c r="H492"/>
      <c r="J492" s="6">
        <v>49857</v>
      </c>
      <c r="K492" s="12">
        <v>-21.228732607808269</v>
      </c>
      <c r="M492">
        <f t="shared" si="14"/>
        <v>0</v>
      </c>
      <c r="N492" s="13">
        <f t="shared" si="15"/>
        <v>1.01</v>
      </c>
      <c r="P492" s="14" t="s">
        <v>117</v>
      </c>
    </row>
    <row r="493" spans="1:16" x14ac:dyDescent="0.25">
      <c r="A493" s="1" t="s">
        <v>660</v>
      </c>
      <c r="B493" s="1" t="s">
        <v>69</v>
      </c>
      <c r="C493" t="s">
        <v>70</v>
      </c>
      <c r="E493" s="4">
        <v>49096</v>
      </c>
      <c r="F493" s="5">
        <v>-119.05</v>
      </c>
      <c r="H493"/>
      <c r="J493" s="6">
        <v>49096</v>
      </c>
      <c r="K493" s="12">
        <v>-119.3420052032176</v>
      </c>
      <c r="M493">
        <f t="shared" si="14"/>
        <v>0</v>
      </c>
      <c r="N493" s="13">
        <f t="shared" si="15"/>
        <v>1</v>
      </c>
      <c r="P493" s="14" t="s">
        <v>117</v>
      </c>
    </row>
    <row r="494" spans="1:16" x14ac:dyDescent="0.25">
      <c r="A494" s="1" t="s">
        <v>661</v>
      </c>
      <c r="B494" s="1" t="s">
        <v>66</v>
      </c>
      <c r="C494" t="s">
        <v>67</v>
      </c>
      <c r="E494" s="4">
        <v>51149</v>
      </c>
      <c r="F494" s="5">
        <v>-163.55000000000001</v>
      </c>
      <c r="G494" s="10" t="s">
        <v>662</v>
      </c>
      <c r="H494"/>
      <c r="J494" s="6">
        <v>51149</v>
      </c>
      <c r="K494" s="12">
        <v>-214.34205470200891</v>
      </c>
      <c r="M494">
        <f t="shared" si="14"/>
        <v>0</v>
      </c>
      <c r="N494" s="13">
        <f t="shared" si="15"/>
        <v>1.31</v>
      </c>
      <c r="P494" s="14"/>
    </row>
    <row r="495" spans="1:16" x14ac:dyDescent="0.25">
      <c r="A495" s="1" t="s">
        <v>663</v>
      </c>
      <c r="B495" s="1" t="s">
        <v>66</v>
      </c>
      <c r="C495" t="s">
        <v>67</v>
      </c>
      <c r="E495" s="4">
        <v>48844</v>
      </c>
      <c r="F495" s="5">
        <v>-120.3</v>
      </c>
      <c r="H495"/>
      <c r="J495" s="6">
        <v>48844</v>
      </c>
      <c r="K495" s="12">
        <v>-121.8994904547134</v>
      </c>
      <c r="M495">
        <f t="shared" si="14"/>
        <v>0</v>
      </c>
      <c r="N495" s="13">
        <f t="shared" si="15"/>
        <v>1.01</v>
      </c>
      <c r="P495" s="14" t="s">
        <v>117</v>
      </c>
    </row>
    <row r="496" spans="1:16" x14ac:dyDescent="0.25">
      <c r="A496" s="1" t="s">
        <v>664</v>
      </c>
      <c r="B496" s="1" t="s">
        <v>69</v>
      </c>
      <c r="C496" t="s">
        <v>70</v>
      </c>
      <c r="E496" s="4">
        <v>50545</v>
      </c>
      <c r="F496" s="5">
        <v>-97.11</v>
      </c>
      <c r="H496"/>
      <c r="J496" s="6">
        <v>50545</v>
      </c>
      <c r="K496" s="12">
        <v>-98.154690701993843</v>
      </c>
      <c r="M496">
        <f t="shared" si="14"/>
        <v>0</v>
      </c>
      <c r="N496" s="13">
        <f t="shared" si="15"/>
        <v>1.01</v>
      </c>
      <c r="P496" s="14" t="s">
        <v>117</v>
      </c>
    </row>
    <row r="497" spans="1:16" x14ac:dyDescent="0.25">
      <c r="A497" s="1" t="s">
        <v>665</v>
      </c>
      <c r="B497" s="1" t="s">
        <v>80</v>
      </c>
      <c r="C497" t="s">
        <v>81</v>
      </c>
      <c r="E497" s="4">
        <v>51410</v>
      </c>
      <c r="F497" s="5">
        <v>-118.95</v>
      </c>
      <c r="H497"/>
      <c r="J497" s="6">
        <v>51410</v>
      </c>
      <c r="K497" s="12">
        <v>-119.0699961277509</v>
      </c>
      <c r="M497">
        <f t="shared" si="14"/>
        <v>0</v>
      </c>
      <c r="N497" s="13">
        <f t="shared" si="15"/>
        <v>1</v>
      </c>
      <c r="P497" s="14" t="s">
        <v>117</v>
      </c>
    </row>
    <row r="498" spans="1:16" x14ac:dyDescent="0.25">
      <c r="A498" s="1" t="s">
        <v>666</v>
      </c>
      <c r="B498" s="1" t="s">
        <v>66</v>
      </c>
      <c r="C498" t="s">
        <v>67</v>
      </c>
      <c r="E498" s="4">
        <v>46715</v>
      </c>
      <c r="F498" s="5">
        <v>-7.46</v>
      </c>
      <c r="G498" s="10" t="s">
        <v>82</v>
      </c>
      <c r="H498"/>
      <c r="J498" s="6">
        <v>46958</v>
      </c>
      <c r="K498" s="12">
        <v>-6.1235672676715822</v>
      </c>
      <c r="M498">
        <f t="shared" si="14"/>
        <v>-243</v>
      </c>
      <c r="N498" s="13">
        <f t="shared" si="15"/>
        <v>0.82</v>
      </c>
      <c r="P498" s="14" t="s">
        <v>117</v>
      </c>
    </row>
    <row r="499" spans="1:16" x14ac:dyDescent="0.25">
      <c r="A499" s="1" t="s">
        <v>667</v>
      </c>
      <c r="B499" s="1" t="s">
        <v>80</v>
      </c>
      <c r="C499" t="s">
        <v>81</v>
      </c>
      <c r="E499" s="4">
        <v>57539</v>
      </c>
      <c r="F499" s="5">
        <v>-196.84</v>
      </c>
      <c r="H499"/>
      <c r="J499" s="6">
        <v>57539</v>
      </c>
      <c r="K499" s="12">
        <v>-197.6928499201868</v>
      </c>
      <c r="M499">
        <f t="shared" si="14"/>
        <v>0</v>
      </c>
      <c r="N499" s="13">
        <f t="shared" si="15"/>
        <v>1</v>
      </c>
      <c r="P499" s="14" t="s">
        <v>117</v>
      </c>
    </row>
    <row r="500" spans="1:16" x14ac:dyDescent="0.25">
      <c r="A500" s="1" t="s">
        <v>668</v>
      </c>
      <c r="B500" s="1" t="s">
        <v>80</v>
      </c>
      <c r="C500" t="s">
        <v>81</v>
      </c>
      <c r="E500" s="4">
        <v>52841</v>
      </c>
      <c r="F500" s="5">
        <v>-212.62</v>
      </c>
      <c r="H500"/>
      <c r="J500" s="6">
        <v>52841</v>
      </c>
      <c r="K500" s="12">
        <v>-213.52092211233921</v>
      </c>
      <c r="M500">
        <f t="shared" si="14"/>
        <v>0</v>
      </c>
      <c r="N500" s="13">
        <f t="shared" si="15"/>
        <v>1</v>
      </c>
      <c r="P500" s="14" t="s">
        <v>117</v>
      </c>
    </row>
    <row r="501" spans="1:16" x14ac:dyDescent="0.25">
      <c r="A501" s="1" t="s">
        <v>669</v>
      </c>
      <c r="B501" s="1" t="s">
        <v>69</v>
      </c>
      <c r="C501" t="s">
        <v>70</v>
      </c>
      <c r="E501" s="4">
        <v>55930</v>
      </c>
      <c r="F501" s="5">
        <v>-52.4</v>
      </c>
      <c r="H501"/>
      <c r="J501" s="6">
        <v>55930</v>
      </c>
      <c r="K501" s="12">
        <v>-62.735236031141078</v>
      </c>
      <c r="M501">
        <f t="shared" si="14"/>
        <v>0</v>
      </c>
      <c r="N501" s="13">
        <f t="shared" si="15"/>
        <v>1.2</v>
      </c>
      <c r="P501" s="14" t="s">
        <v>117</v>
      </c>
    </row>
    <row r="502" spans="1:16" x14ac:dyDescent="0.25">
      <c r="A502" s="1" t="s">
        <v>670</v>
      </c>
      <c r="B502" s="1" t="s">
        <v>66</v>
      </c>
      <c r="C502" t="s">
        <v>67</v>
      </c>
      <c r="E502" s="4">
        <v>58353</v>
      </c>
      <c r="F502" s="5">
        <v>-89.07</v>
      </c>
      <c r="G502" s="10" t="s">
        <v>73</v>
      </c>
      <c r="H502"/>
      <c r="J502" s="6">
        <v>58353</v>
      </c>
      <c r="K502" s="12">
        <v>-89.569702959836647</v>
      </c>
      <c r="M502">
        <f t="shared" si="14"/>
        <v>0</v>
      </c>
      <c r="N502" s="13">
        <f t="shared" si="15"/>
        <v>1.01</v>
      </c>
      <c r="P502" s="14" t="s">
        <v>117</v>
      </c>
    </row>
    <row r="503" spans="1:16" x14ac:dyDescent="0.25">
      <c r="A503" s="1" t="s">
        <v>671</v>
      </c>
      <c r="B503" s="1" t="s">
        <v>80</v>
      </c>
      <c r="C503" t="s">
        <v>81</v>
      </c>
      <c r="E503" s="4">
        <v>64057</v>
      </c>
      <c r="F503" s="5">
        <v>-239.13</v>
      </c>
      <c r="H503"/>
      <c r="J503" s="6">
        <v>64057</v>
      </c>
      <c r="K503" s="12">
        <v>-244.05424948299211</v>
      </c>
      <c r="M503">
        <f t="shared" si="14"/>
        <v>0</v>
      </c>
      <c r="N503" s="13">
        <f t="shared" si="15"/>
        <v>1.02</v>
      </c>
      <c r="P503" s="14" t="s">
        <v>117</v>
      </c>
    </row>
    <row r="504" spans="1:16" x14ac:dyDescent="0.25">
      <c r="A504" s="1" t="s">
        <v>672</v>
      </c>
      <c r="B504" s="1" t="s">
        <v>66</v>
      </c>
      <c r="C504" t="s">
        <v>67</v>
      </c>
      <c r="E504" s="4">
        <v>53261</v>
      </c>
      <c r="F504" s="5">
        <v>-103.75</v>
      </c>
      <c r="G504" s="10" t="s">
        <v>463</v>
      </c>
      <c r="H504"/>
      <c r="J504" s="6">
        <v>53108</v>
      </c>
      <c r="K504" s="12">
        <v>-78.459091204140947</v>
      </c>
      <c r="M504">
        <f t="shared" si="14"/>
        <v>153</v>
      </c>
      <c r="N504" s="13">
        <f t="shared" si="15"/>
        <v>0.76</v>
      </c>
      <c r="P504" s="14"/>
    </row>
    <row r="505" spans="1:16" x14ac:dyDescent="0.25">
      <c r="A505" s="1" t="s">
        <v>78</v>
      </c>
      <c r="B505" s="1" t="s">
        <v>66</v>
      </c>
      <c r="C505" t="s">
        <v>67</v>
      </c>
      <c r="E505" s="4">
        <v>79710</v>
      </c>
      <c r="F505" s="5">
        <v>220343.75</v>
      </c>
      <c r="H505" s="10" t="s">
        <v>822</v>
      </c>
      <c r="J505" s="6">
        <v>70215</v>
      </c>
      <c r="K505" s="12">
        <v>81872.255850547488</v>
      </c>
      <c r="M505">
        <f t="shared" si="14"/>
        <v>9495</v>
      </c>
      <c r="N505" s="13">
        <f t="shared" si="15"/>
        <v>0.37</v>
      </c>
      <c r="P505" s="14" t="s">
        <v>819</v>
      </c>
    </row>
    <row r="506" spans="1:16" x14ac:dyDescent="0.25">
      <c r="A506" s="1" t="s">
        <v>673</v>
      </c>
      <c r="B506" s="1" t="s">
        <v>674</v>
      </c>
      <c r="C506" t="s">
        <v>675</v>
      </c>
      <c r="E506" s="4">
        <v>48391</v>
      </c>
      <c r="F506" s="5">
        <v>-480.69</v>
      </c>
      <c r="H506"/>
      <c r="J506" s="6">
        <v>48421</v>
      </c>
      <c r="K506" s="12">
        <v>-315.95233507273639</v>
      </c>
      <c r="M506">
        <f t="shared" si="14"/>
        <v>-30</v>
      </c>
      <c r="N506" s="13">
        <f t="shared" si="15"/>
        <v>0.66</v>
      </c>
      <c r="P506" s="14" t="s">
        <v>161</v>
      </c>
    </row>
    <row r="507" spans="1:16" x14ac:dyDescent="0.25">
      <c r="A507" s="1" t="s">
        <v>676</v>
      </c>
      <c r="B507" s="1" t="s">
        <v>80</v>
      </c>
      <c r="C507" t="s">
        <v>81</v>
      </c>
      <c r="E507" s="4">
        <v>48097</v>
      </c>
      <c r="F507" s="5">
        <v>-127</v>
      </c>
      <c r="H507"/>
      <c r="J507" s="6">
        <v>48097</v>
      </c>
      <c r="K507" s="12">
        <v>-127.2580359652936</v>
      </c>
      <c r="M507">
        <f t="shared" si="14"/>
        <v>0</v>
      </c>
      <c r="N507" s="13">
        <f t="shared" si="15"/>
        <v>1</v>
      </c>
      <c r="P507" s="14" t="s">
        <v>117</v>
      </c>
    </row>
    <row r="508" spans="1:16" x14ac:dyDescent="0.25">
      <c r="A508" s="1" t="s">
        <v>677</v>
      </c>
      <c r="B508" s="1" t="s">
        <v>80</v>
      </c>
      <c r="C508" t="s">
        <v>81</v>
      </c>
      <c r="E508" s="4">
        <v>46279</v>
      </c>
      <c r="F508" s="5">
        <v>-10.52</v>
      </c>
      <c r="G508" s="10" t="s">
        <v>678</v>
      </c>
      <c r="H508"/>
      <c r="J508" s="6">
        <v>46279</v>
      </c>
      <c r="K508" s="12">
        <v>-10.519757027316251</v>
      </c>
      <c r="M508">
        <f t="shared" si="14"/>
        <v>0</v>
      </c>
      <c r="N508" s="13">
        <f t="shared" si="15"/>
        <v>1</v>
      </c>
      <c r="P508" s="14" t="s">
        <v>117</v>
      </c>
    </row>
    <row r="509" spans="1:16" x14ac:dyDescent="0.25">
      <c r="A509" s="1" t="s">
        <v>679</v>
      </c>
      <c r="B509" s="1" t="s">
        <v>80</v>
      </c>
      <c r="C509" t="s">
        <v>81</v>
      </c>
      <c r="E509" s="4">
        <v>49668</v>
      </c>
      <c r="F509" s="5">
        <v>-180.69</v>
      </c>
      <c r="G509" s="10" t="s">
        <v>680</v>
      </c>
      <c r="H509"/>
      <c r="J509" s="6">
        <v>46593</v>
      </c>
      <c r="K509" s="12">
        <v>10614.58655497823</v>
      </c>
      <c r="M509">
        <f t="shared" si="14"/>
        <v>3075</v>
      </c>
      <c r="N509" s="13">
        <f t="shared" si="15"/>
        <v>-58.74</v>
      </c>
      <c r="P509" s="14" t="s">
        <v>117</v>
      </c>
    </row>
    <row r="510" spans="1:16" x14ac:dyDescent="0.25">
      <c r="A510" s="1" t="s">
        <v>681</v>
      </c>
      <c r="B510" s="1" t="s">
        <v>80</v>
      </c>
      <c r="C510" t="s">
        <v>81</v>
      </c>
      <c r="E510" s="4">
        <v>53457</v>
      </c>
      <c r="F510" s="5">
        <v>-291.55</v>
      </c>
      <c r="H510"/>
      <c r="J510" s="6">
        <v>53457</v>
      </c>
      <c r="K510" s="12">
        <v>-293.1431695606895</v>
      </c>
      <c r="M510">
        <f t="shared" si="14"/>
        <v>0</v>
      </c>
      <c r="N510" s="13">
        <f t="shared" si="15"/>
        <v>1.01</v>
      </c>
      <c r="P510" s="14" t="s">
        <v>117</v>
      </c>
    </row>
    <row r="511" spans="1:16" x14ac:dyDescent="0.25">
      <c r="A511" s="1" t="s">
        <v>682</v>
      </c>
      <c r="B511" s="1" t="s">
        <v>80</v>
      </c>
      <c r="C511" t="s">
        <v>81</v>
      </c>
      <c r="E511" s="4">
        <v>51791</v>
      </c>
      <c r="F511" s="5">
        <v>-143.47</v>
      </c>
      <c r="H511"/>
      <c r="J511" s="6">
        <v>50391</v>
      </c>
      <c r="K511" s="12">
        <v>3464.145646931006</v>
      </c>
      <c r="M511">
        <f t="shared" si="14"/>
        <v>1400</v>
      </c>
      <c r="N511" s="13">
        <f t="shared" si="15"/>
        <v>-24.15</v>
      </c>
      <c r="P511" s="14" t="s">
        <v>117</v>
      </c>
    </row>
    <row r="512" spans="1:16" x14ac:dyDescent="0.25">
      <c r="A512" s="1" t="s">
        <v>683</v>
      </c>
      <c r="B512" s="1" t="s">
        <v>69</v>
      </c>
      <c r="C512" t="s">
        <v>70</v>
      </c>
      <c r="E512" s="4">
        <v>48305</v>
      </c>
      <c r="F512" s="5">
        <v>-171.54</v>
      </c>
      <c r="H512"/>
      <c r="J512" s="6">
        <v>48305</v>
      </c>
      <c r="K512" s="12">
        <v>-171.88062867992031</v>
      </c>
      <c r="M512">
        <f t="shared" si="14"/>
        <v>0</v>
      </c>
      <c r="N512" s="13">
        <f t="shared" si="15"/>
        <v>1</v>
      </c>
      <c r="P512" s="14" t="s">
        <v>117</v>
      </c>
    </row>
    <row r="513" spans="1:16" x14ac:dyDescent="0.25">
      <c r="A513" s="1" t="s">
        <v>684</v>
      </c>
      <c r="B513" s="1" t="s">
        <v>69</v>
      </c>
      <c r="C513" t="s">
        <v>70</v>
      </c>
      <c r="E513" s="4">
        <v>54940</v>
      </c>
      <c r="F513" s="5">
        <v>-3.19</v>
      </c>
      <c r="H513"/>
      <c r="J513" s="6">
        <v>54940</v>
      </c>
      <c r="K513" s="12">
        <v>-4.1590674664433891</v>
      </c>
      <c r="M513">
        <f t="shared" si="14"/>
        <v>0</v>
      </c>
      <c r="N513" s="13">
        <f t="shared" si="15"/>
        <v>1.3</v>
      </c>
      <c r="P513" s="14" t="s">
        <v>117</v>
      </c>
    </row>
    <row r="514" spans="1:16" x14ac:dyDescent="0.25">
      <c r="A514" s="1" t="s">
        <v>685</v>
      </c>
      <c r="B514" s="1" t="s">
        <v>80</v>
      </c>
      <c r="C514" t="s">
        <v>81</v>
      </c>
      <c r="E514" s="4">
        <v>56574</v>
      </c>
      <c r="F514" s="5">
        <v>-22.15</v>
      </c>
      <c r="H514"/>
      <c r="J514" s="6">
        <v>56574</v>
      </c>
      <c r="K514" s="12">
        <v>-25.31010203857608</v>
      </c>
      <c r="M514">
        <f t="shared" ref="M514:M577" si="16">E514-J514</f>
        <v>0</v>
      </c>
      <c r="N514" s="13">
        <f t="shared" ref="N514:N577" si="17">ROUND(K514/F514,2)</f>
        <v>1.1399999999999999</v>
      </c>
      <c r="P514" s="14" t="s">
        <v>117</v>
      </c>
    </row>
    <row r="515" spans="1:16" x14ac:dyDescent="0.25">
      <c r="A515" s="1" t="s">
        <v>686</v>
      </c>
      <c r="B515" s="1" t="s">
        <v>80</v>
      </c>
      <c r="C515" t="s">
        <v>81</v>
      </c>
      <c r="E515" s="4">
        <v>51202</v>
      </c>
      <c r="F515" s="5">
        <v>-174.11</v>
      </c>
      <c r="H515"/>
      <c r="J515" s="6">
        <v>51202</v>
      </c>
      <c r="K515" s="12">
        <v>-174.24617156237889</v>
      </c>
      <c r="M515">
        <f t="shared" si="16"/>
        <v>0</v>
      </c>
      <c r="N515" s="13">
        <f t="shared" si="17"/>
        <v>1</v>
      </c>
      <c r="P515" s="14" t="s">
        <v>117</v>
      </c>
    </row>
    <row r="516" spans="1:16" x14ac:dyDescent="0.25">
      <c r="A516" s="1" t="s">
        <v>687</v>
      </c>
      <c r="B516" s="1" t="s">
        <v>80</v>
      </c>
      <c r="C516" t="s">
        <v>81</v>
      </c>
      <c r="E516" s="4">
        <v>49835</v>
      </c>
      <c r="F516" s="5">
        <v>-390.08</v>
      </c>
      <c r="G516" s="10" t="s">
        <v>680</v>
      </c>
      <c r="H516"/>
      <c r="J516" s="6">
        <v>49835</v>
      </c>
      <c r="K516" s="12">
        <v>-390.77304632703448</v>
      </c>
      <c r="M516">
        <f t="shared" si="16"/>
        <v>0</v>
      </c>
      <c r="N516" s="13">
        <f t="shared" si="17"/>
        <v>1</v>
      </c>
      <c r="P516" s="14" t="s">
        <v>117</v>
      </c>
    </row>
    <row r="517" spans="1:16" x14ac:dyDescent="0.25">
      <c r="A517" s="1" t="s">
        <v>688</v>
      </c>
      <c r="B517" s="1" t="s">
        <v>69</v>
      </c>
      <c r="C517" t="s">
        <v>70</v>
      </c>
      <c r="E517" s="4">
        <v>52035</v>
      </c>
      <c r="F517" s="5">
        <v>-133.41</v>
      </c>
      <c r="G517" s="10" t="s">
        <v>73</v>
      </c>
      <c r="H517"/>
      <c r="J517" s="6">
        <v>52035</v>
      </c>
      <c r="K517" s="12">
        <v>-134.65874686437641</v>
      </c>
      <c r="M517">
        <f t="shared" si="16"/>
        <v>0</v>
      </c>
      <c r="N517" s="13">
        <f t="shared" si="17"/>
        <v>1.01</v>
      </c>
      <c r="P517" s="14" t="s">
        <v>117</v>
      </c>
    </row>
    <row r="518" spans="1:16" x14ac:dyDescent="0.25">
      <c r="A518" s="1" t="s">
        <v>689</v>
      </c>
      <c r="B518" s="1" t="s">
        <v>80</v>
      </c>
      <c r="C518" t="s">
        <v>81</v>
      </c>
      <c r="E518" s="4">
        <v>59842</v>
      </c>
      <c r="F518" s="5">
        <v>-174.21</v>
      </c>
      <c r="H518"/>
      <c r="J518" s="6">
        <v>59842</v>
      </c>
      <c r="K518" s="12">
        <v>-174.63638849820171</v>
      </c>
      <c r="M518">
        <f t="shared" si="16"/>
        <v>0</v>
      </c>
      <c r="N518" s="13">
        <f t="shared" si="17"/>
        <v>1</v>
      </c>
      <c r="P518" s="14" t="s">
        <v>117</v>
      </c>
    </row>
    <row r="519" spans="1:16" x14ac:dyDescent="0.25">
      <c r="A519" s="1" t="s">
        <v>690</v>
      </c>
      <c r="B519" s="1" t="s">
        <v>80</v>
      </c>
      <c r="C519" t="s">
        <v>81</v>
      </c>
      <c r="E519" s="4">
        <v>58818</v>
      </c>
      <c r="F519" s="5">
        <v>-220.66</v>
      </c>
      <c r="G519" s="10" t="s">
        <v>73</v>
      </c>
      <c r="H519"/>
      <c r="J519" s="6">
        <v>58818</v>
      </c>
      <c r="K519" s="12">
        <v>-221.14758566603811</v>
      </c>
      <c r="M519">
        <f t="shared" si="16"/>
        <v>0</v>
      </c>
      <c r="N519" s="13">
        <f t="shared" si="17"/>
        <v>1</v>
      </c>
      <c r="P519" s="14" t="s">
        <v>117</v>
      </c>
    </row>
    <row r="520" spans="1:16" x14ac:dyDescent="0.25">
      <c r="A520" s="1" t="s">
        <v>691</v>
      </c>
      <c r="B520" s="1" t="s">
        <v>80</v>
      </c>
      <c r="C520" t="s">
        <v>81</v>
      </c>
      <c r="E520" s="4">
        <v>52929</v>
      </c>
      <c r="F520" s="5">
        <v>-37.74</v>
      </c>
      <c r="H520"/>
      <c r="J520" s="6">
        <v>52929</v>
      </c>
      <c r="K520" s="12">
        <v>-38.797708465789952</v>
      </c>
      <c r="M520">
        <f t="shared" si="16"/>
        <v>0</v>
      </c>
      <c r="N520" s="13">
        <f t="shared" si="17"/>
        <v>1.03</v>
      </c>
      <c r="P520" s="14" t="s">
        <v>117</v>
      </c>
    </row>
    <row r="521" spans="1:16" x14ac:dyDescent="0.25">
      <c r="A521" s="1" t="s">
        <v>692</v>
      </c>
      <c r="B521" s="1" t="s">
        <v>80</v>
      </c>
      <c r="C521" t="s">
        <v>81</v>
      </c>
      <c r="E521" s="4">
        <v>48172</v>
      </c>
      <c r="F521" s="5">
        <v>-72.760000000000005</v>
      </c>
      <c r="H521"/>
      <c r="J521" s="6">
        <v>48172</v>
      </c>
      <c r="K521" s="12">
        <v>-73.183702737982443</v>
      </c>
      <c r="M521">
        <f t="shared" si="16"/>
        <v>0</v>
      </c>
      <c r="N521" s="13">
        <f t="shared" si="17"/>
        <v>1.01</v>
      </c>
      <c r="P521" s="14" t="s">
        <v>117</v>
      </c>
    </row>
    <row r="522" spans="1:16" x14ac:dyDescent="0.25">
      <c r="A522" s="1" t="s">
        <v>693</v>
      </c>
      <c r="B522" s="1" t="s">
        <v>80</v>
      </c>
      <c r="C522" t="s">
        <v>81</v>
      </c>
      <c r="E522" s="4">
        <v>48380</v>
      </c>
      <c r="F522" s="5">
        <v>-6.01</v>
      </c>
      <c r="H522"/>
      <c r="J522" s="6">
        <v>48380</v>
      </c>
      <c r="K522" s="12">
        <v>-6.14495087941647</v>
      </c>
      <c r="M522">
        <f t="shared" si="16"/>
        <v>0</v>
      </c>
      <c r="N522" s="13">
        <f t="shared" si="17"/>
        <v>1.02</v>
      </c>
      <c r="P522" s="14" t="s">
        <v>117</v>
      </c>
    </row>
    <row r="523" spans="1:16" x14ac:dyDescent="0.25">
      <c r="A523" s="1" t="s">
        <v>694</v>
      </c>
      <c r="B523" s="1" t="s">
        <v>80</v>
      </c>
      <c r="C523" t="s">
        <v>81</v>
      </c>
      <c r="E523" s="4">
        <v>50717</v>
      </c>
      <c r="F523" s="5">
        <v>-20.49</v>
      </c>
      <c r="H523"/>
      <c r="J523" s="6">
        <v>50717</v>
      </c>
      <c r="K523" s="12">
        <v>-20.633522828671332</v>
      </c>
      <c r="M523">
        <f t="shared" si="16"/>
        <v>0</v>
      </c>
      <c r="N523" s="13">
        <f t="shared" si="17"/>
        <v>1.01</v>
      </c>
      <c r="P523" s="14" t="s">
        <v>117</v>
      </c>
    </row>
    <row r="524" spans="1:16" x14ac:dyDescent="0.25">
      <c r="A524" s="1" t="s">
        <v>695</v>
      </c>
      <c r="B524" s="1" t="s">
        <v>66</v>
      </c>
      <c r="C524" t="s">
        <v>67</v>
      </c>
      <c r="E524" s="4">
        <v>58060</v>
      </c>
      <c r="F524" s="5">
        <v>-41.71</v>
      </c>
      <c r="H524"/>
      <c r="J524" s="6">
        <v>58060</v>
      </c>
      <c r="K524" s="12">
        <v>-42.373777960755277</v>
      </c>
      <c r="M524">
        <f t="shared" si="16"/>
        <v>0</v>
      </c>
      <c r="N524" s="13">
        <f t="shared" si="17"/>
        <v>1.02</v>
      </c>
      <c r="P524" s="14" t="s">
        <v>117</v>
      </c>
    </row>
    <row r="525" spans="1:16" x14ac:dyDescent="0.25">
      <c r="A525" s="1" t="s">
        <v>696</v>
      </c>
      <c r="B525" s="1" t="s">
        <v>80</v>
      </c>
      <c r="C525" t="s">
        <v>81</v>
      </c>
      <c r="E525" s="4">
        <v>52087</v>
      </c>
      <c r="F525" s="5">
        <v>-15.51</v>
      </c>
      <c r="H525"/>
      <c r="J525" s="6">
        <v>52087</v>
      </c>
      <c r="K525" s="12">
        <v>-16.29403924860236</v>
      </c>
      <c r="M525">
        <f t="shared" si="16"/>
        <v>0</v>
      </c>
      <c r="N525" s="13">
        <f t="shared" si="17"/>
        <v>1.05</v>
      </c>
      <c r="P525" s="14" t="s">
        <v>117</v>
      </c>
    </row>
    <row r="526" spans="1:16" x14ac:dyDescent="0.25">
      <c r="A526" s="1" t="s">
        <v>697</v>
      </c>
      <c r="B526" s="1" t="s">
        <v>80</v>
      </c>
      <c r="C526" t="s">
        <v>81</v>
      </c>
      <c r="E526" s="4">
        <v>53826</v>
      </c>
      <c r="F526" s="5">
        <v>-70.760000000000005</v>
      </c>
      <c r="G526" s="10" t="s">
        <v>73</v>
      </c>
      <c r="H526"/>
      <c r="J526" s="6">
        <v>53826</v>
      </c>
      <c r="K526" s="12">
        <v>-71.232912659977472</v>
      </c>
      <c r="M526">
        <f t="shared" si="16"/>
        <v>0</v>
      </c>
      <c r="N526" s="13">
        <f t="shared" si="17"/>
        <v>1.01</v>
      </c>
      <c r="P526" s="14" t="s">
        <v>117</v>
      </c>
    </row>
    <row r="527" spans="1:16" x14ac:dyDescent="0.25">
      <c r="A527" s="1" t="s">
        <v>698</v>
      </c>
      <c r="B527" s="1" t="s">
        <v>69</v>
      </c>
      <c r="C527" t="s">
        <v>70</v>
      </c>
      <c r="E527" s="4">
        <v>50217</v>
      </c>
      <c r="F527" s="5">
        <v>-50.28</v>
      </c>
      <c r="H527"/>
      <c r="J527" s="6">
        <v>50217</v>
      </c>
      <c r="K527" s="12">
        <v>-52.170433400274391</v>
      </c>
      <c r="M527">
        <f t="shared" si="16"/>
        <v>0</v>
      </c>
      <c r="N527" s="13">
        <f t="shared" si="17"/>
        <v>1.04</v>
      </c>
      <c r="P527" s="14" t="s">
        <v>117</v>
      </c>
    </row>
    <row r="528" spans="1:16" x14ac:dyDescent="0.25">
      <c r="A528" s="1" t="s">
        <v>699</v>
      </c>
      <c r="B528" s="1" t="s">
        <v>80</v>
      </c>
      <c r="C528" t="s">
        <v>81</v>
      </c>
      <c r="E528" s="4">
        <v>49463</v>
      </c>
      <c r="F528" s="5">
        <v>-338.41</v>
      </c>
      <c r="H528"/>
      <c r="J528" s="6">
        <v>49463</v>
      </c>
      <c r="K528" s="12">
        <v>-339.58509856938468</v>
      </c>
      <c r="M528">
        <f t="shared" si="16"/>
        <v>0</v>
      </c>
      <c r="N528" s="13">
        <f t="shared" si="17"/>
        <v>1</v>
      </c>
      <c r="P528" s="14" t="s">
        <v>117</v>
      </c>
    </row>
    <row r="529" spans="1:16" x14ac:dyDescent="0.25">
      <c r="A529" s="1" t="s">
        <v>700</v>
      </c>
      <c r="B529" s="1" t="s">
        <v>69</v>
      </c>
      <c r="C529" t="s">
        <v>70</v>
      </c>
      <c r="E529" s="4">
        <v>47234</v>
      </c>
      <c r="F529" s="5">
        <v>-48.07</v>
      </c>
      <c r="H529"/>
      <c r="J529" s="6">
        <v>47234</v>
      </c>
      <c r="K529" s="12">
        <v>-48.24218554345569</v>
      </c>
      <c r="M529">
        <f t="shared" si="16"/>
        <v>0</v>
      </c>
      <c r="N529" s="13">
        <f t="shared" si="17"/>
        <v>1</v>
      </c>
      <c r="P529" s="14" t="s">
        <v>117</v>
      </c>
    </row>
    <row r="530" spans="1:16" x14ac:dyDescent="0.25">
      <c r="A530" s="1" t="s">
        <v>701</v>
      </c>
      <c r="B530" s="1" t="s">
        <v>80</v>
      </c>
      <c r="C530" t="s">
        <v>81</v>
      </c>
      <c r="E530" s="4">
        <v>49796</v>
      </c>
      <c r="F530" s="5">
        <v>-1.7</v>
      </c>
      <c r="G530" s="10" t="s">
        <v>702</v>
      </c>
      <c r="H530"/>
      <c r="J530" s="6">
        <v>49796</v>
      </c>
      <c r="K530" s="12">
        <v>-2.3665201886407772</v>
      </c>
      <c r="M530">
        <f t="shared" si="16"/>
        <v>0</v>
      </c>
      <c r="N530" s="13">
        <f t="shared" si="17"/>
        <v>1.39</v>
      </c>
      <c r="P530" s="14" t="s">
        <v>117</v>
      </c>
    </row>
    <row r="531" spans="1:16" x14ac:dyDescent="0.25">
      <c r="A531" s="1" t="s">
        <v>703</v>
      </c>
      <c r="B531" s="1" t="s">
        <v>80</v>
      </c>
      <c r="C531" t="s">
        <v>81</v>
      </c>
      <c r="E531" s="4">
        <v>52810</v>
      </c>
      <c r="F531" s="5">
        <v>-140.99</v>
      </c>
      <c r="G531" s="10" t="s">
        <v>702</v>
      </c>
      <c r="H531"/>
      <c r="J531" s="6">
        <v>54302</v>
      </c>
      <c r="K531" s="12">
        <v>-105.00605794731059</v>
      </c>
      <c r="M531">
        <f t="shared" si="16"/>
        <v>-1492</v>
      </c>
      <c r="N531" s="13">
        <f t="shared" si="17"/>
        <v>0.74</v>
      </c>
      <c r="P531" s="14" t="s">
        <v>117</v>
      </c>
    </row>
    <row r="532" spans="1:16" x14ac:dyDescent="0.25">
      <c r="A532" s="1" t="s">
        <v>704</v>
      </c>
      <c r="B532" s="1" t="s">
        <v>66</v>
      </c>
      <c r="C532" t="s">
        <v>67</v>
      </c>
      <c r="E532" s="4">
        <v>51987</v>
      </c>
      <c r="F532" s="5">
        <v>-27.59</v>
      </c>
      <c r="G532" s="10" t="s">
        <v>705</v>
      </c>
      <c r="H532"/>
      <c r="J532" s="6">
        <v>52018</v>
      </c>
      <c r="K532" s="12">
        <v>-32.483959937184807</v>
      </c>
      <c r="M532">
        <f t="shared" si="16"/>
        <v>-31</v>
      </c>
      <c r="N532" s="13">
        <f t="shared" si="17"/>
        <v>1.18</v>
      </c>
      <c r="P532" s="14"/>
    </row>
    <row r="533" spans="1:16" x14ac:dyDescent="0.25">
      <c r="A533" s="1" t="s">
        <v>706</v>
      </c>
      <c r="B533" s="1" t="s">
        <v>66</v>
      </c>
      <c r="C533" t="s">
        <v>67</v>
      </c>
      <c r="E533" s="4">
        <v>48972</v>
      </c>
      <c r="F533" s="5">
        <v>-105.13</v>
      </c>
      <c r="G533" s="10" t="s">
        <v>82</v>
      </c>
      <c r="H533"/>
      <c r="J533" s="6">
        <v>48972</v>
      </c>
      <c r="K533" s="12">
        <v>-105.78076906634691</v>
      </c>
      <c r="M533">
        <f t="shared" si="16"/>
        <v>0</v>
      </c>
      <c r="N533" s="13">
        <f t="shared" si="17"/>
        <v>1.01</v>
      </c>
      <c r="P533" s="14" t="s">
        <v>117</v>
      </c>
    </row>
    <row r="534" spans="1:16" x14ac:dyDescent="0.25">
      <c r="A534" s="1" t="s">
        <v>707</v>
      </c>
      <c r="B534" s="1" t="s">
        <v>80</v>
      </c>
      <c r="C534" t="s">
        <v>81</v>
      </c>
      <c r="E534" s="4">
        <v>58319</v>
      </c>
      <c r="F534" s="5">
        <v>-113.71</v>
      </c>
      <c r="G534" s="10" t="s">
        <v>73</v>
      </c>
      <c r="H534"/>
      <c r="J534" s="6">
        <v>58319</v>
      </c>
      <c r="K534" s="12">
        <v>-114.3236345793395</v>
      </c>
      <c r="M534">
        <f t="shared" si="16"/>
        <v>0</v>
      </c>
      <c r="N534" s="13">
        <f t="shared" si="17"/>
        <v>1.01</v>
      </c>
      <c r="P534" s="14" t="s">
        <v>117</v>
      </c>
    </row>
    <row r="535" spans="1:16" x14ac:dyDescent="0.25">
      <c r="A535" s="1" t="s">
        <v>708</v>
      </c>
      <c r="B535" s="1" t="s">
        <v>80</v>
      </c>
      <c r="C535" t="s">
        <v>81</v>
      </c>
      <c r="E535" s="4">
        <v>59844</v>
      </c>
      <c r="F535" s="5">
        <v>-260.44</v>
      </c>
      <c r="H535"/>
      <c r="J535" s="6">
        <v>59844</v>
      </c>
      <c r="K535" s="12">
        <v>-262.71596085358169</v>
      </c>
      <c r="M535">
        <f t="shared" si="16"/>
        <v>0</v>
      </c>
      <c r="N535" s="13">
        <f t="shared" si="17"/>
        <v>1.01</v>
      </c>
      <c r="P535" s="14" t="s">
        <v>117</v>
      </c>
    </row>
    <row r="536" spans="1:16" x14ac:dyDescent="0.25">
      <c r="A536" s="1" t="s">
        <v>709</v>
      </c>
      <c r="B536" s="1" t="s">
        <v>80</v>
      </c>
      <c r="C536" t="s">
        <v>81</v>
      </c>
      <c r="E536" s="4">
        <v>52700</v>
      </c>
      <c r="F536" s="5">
        <v>-102.98</v>
      </c>
      <c r="H536"/>
      <c r="J536" s="6">
        <v>52700</v>
      </c>
      <c r="K536" s="12">
        <v>-104.0323372502275</v>
      </c>
      <c r="M536">
        <f t="shared" si="16"/>
        <v>0</v>
      </c>
      <c r="N536" s="13">
        <f t="shared" si="17"/>
        <v>1.01</v>
      </c>
      <c r="P536" s="14" t="s">
        <v>117</v>
      </c>
    </row>
    <row r="537" spans="1:16" x14ac:dyDescent="0.25">
      <c r="A537" s="1" t="s">
        <v>79</v>
      </c>
      <c r="B537" s="1" t="s">
        <v>80</v>
      </c>
      <c r="C537" t="s">
        <v>81</v>
      </c>
      <c r="E537" s="4">
        <v>57049</v>
      </c>
      <c r="F537" s="5">
        <v>49544.76</v>
      </c>
      <c r="G537" s="10" t="s">
        <v>82</v>
      </c>
      <c r="H537"/>
      <c r="J537" s="6">
        <v>57049</v>
      </c>
      <c r="K537" s="12">
        <v>49964.711109566677</v>
      </c>
      <c r="M537">
        <f t="shared" si="16"/>
        <v>0</v>
      </c>
      <c r="N537" s="13">
        <f t="shared" si="17"/>
        <v>1.01</v>
      </c>
      <c r="P537" s="14" t="s">
        <v>117</v>
      </c>
    </row>
    <row r="538" spans="1:16" x14ac:dyDescent="0.25">
      <c r="A538" s="1" t="s">
        <v>710</v>
      </c>
      <c r="B538" s="1" t="s">
        <v>80</v>
      </c>
      <c r="C538" t="s">
        <v>81</v>
      </c>
      <c r="E538" s="4">
        <v>52719</v>
      </c>
      <c r="F538" s="5">
        <v>-171.78</v>
      </c>
      <c r="H538"/>
      <c r="J538" s="6">
        <v>52719</v>
      </c>
      <c r="K538" s="12">
        <v>-172.50965865211779</v>
      </c>
      <c r="M538">
        <f t="shared" si="16"/>
        <v>0</v>
      </c>
      <c r="N538" s="13">
        <f t="shared" si="17"/>
        <v>1</v>
      </c>
      <c r="P538" s="14" t="s">
        <v>117</v>
      </c>
    </row>
    <row r="539" spans="1:16" x14ac:dyDescent="0.25">
      <c r="A539" s="1" t="s">
        <v>711</v>
      </c>
      <c r="B539" s="1" t="s">
        <v>80</v>
      </c>
      <c r="C539" t="s">
        <v>81</v>
      </c>
      <c r="E539" s="4">
        <v>53268</v>
      </c>
      <c r="F539" s="5">
        <v>-157.1</v>
      </c>
      <c r="H539"/>
      <c r="J539" s="6">
        <v>53268</v>
      </c>
      <c r="K539" s="12">
        <v>-159.1011185059829</v>
      </c>
      <c r="M539">
        <f t="shared" si="16"/>
        <v>0</v>
      </c>
      <c r="N539" s="13">
        <f t="shared" si="17"/>
        <v>1.01</v>
      </c>
      <c r="P539" s="14" t="s">
        <v>117</v>
      </c>
    </row>
    <row r="540" spans="1:16" x14ac:dyDescent="0.25">
      <c r="A540" s="1" t="s">
        <v>83</v>
      </c>
      <c r="B540" s="1" t="s">
        <v>80</v>
      </c>
      <c r="C540" t="s">
        <v>81</v>
      </c>
      <c r="E540" s="4">
        <v>53951</v>
      </c>
      <c r="F540" s="5">
        <v>-168.61</v>
      </c>
      <c r="H540" s="10" t="s">
        <v>818</v>
      </c>
      <c r="J540" s="6">
        <v>51576</v>
      </c>
      <c r="K540" s="12">
        <v>13030.57442892797</v>
      </c>
      <c r="M540">
        <f t="shared" si="16"/>
        <v>2375</v>
      </c>
      <c r="N540" s="13">
        <f t="shared" si="17"/>
        <v>-77.28</v>
      </c>
      <c r="P540" s="14" t="s">
        <v>819</v>
      </c>
    </row>
    <row r="541" spans="1:16" x14ac:dyDescent="0.25">
      <c r="A541" s="1" t="s">
        <v>712</v>
      </c>
      <c r="B541" s="1" t="s">
        <v>80</v>
      </c>
      <c r="C541" t="s">
        <v>81</v>
      </c>
      <c r="E541" s="4">
        <v>56413</v>
      </c>
      <c r="F541" s="5">
        <v>-186.31</v>
      </c>
      <c r="H541"/>
      <c r="J541" s="6">
        <v>56413</v>
      </c>
      <c r="K541" s="12">
        <v>-187.69399050894731</v>
      </c>
      <c r="M541">
        <f t="shared" si="16"/>
        <v>0</v>
      </c>
      <c r="N541" s="13">
        <f t="shared" si="17"/>
        <v>1.01</v>
      </c>
      <c r="P541" s="14" t="s">
        <v>117</v>
      </c>
    </row>
    <row r="542" spans="1:16" x14ac:dyDescent="0.25">
      <c r="A542" s="1" t="s">
        <v>713</v>
      </c>
      <c r="B542" s="1" t="s">
        <v>80</v>
      </c>
      <c r="C542" t="s">
        <v>81</v>
      </c>
      <c r="E542" s="4">
        <v>54195</v>
      </c>
      <c r="F542" s="5">
        <v>-78.28</v>
      </c>
      <c r="H542"/>
      <c r="J542" s="6">
        <v>54195</v>
      </c>
      <c r="K542" s="12">
        <v>-79.947816497763156</v>
      </c>
      <c r="M542">
        <f t="shared" si="16"/>
        <v>0</v>
      </c>
      <c r="N542" s="13">
        <f t="shared" si="17"/>
        <v>1.02</v>
      </c>
      <c r="P542" s="14" t="s">
        <v>117</v>
      </c>
    </row>
    <row r="543" spans="1:16" x14ac:dyDescent="0.25">
      <c r="A543" s="1" t="s">
        <v>714</v>
      </c>
      <c r="B543" s="1" t="s">
        <v>80</v>
      </c>
      <c r="C543" t="s">
        <v>81</v>
      </c>
      <c r="E543" s="4">
        <v>55925</v>
      </c>
      <c r="F543" s="5">
        <v>-32.369999999999997</v>
      </c>
      <c r="H543"/>
      <c r="J543" s="6">
        <v>55925</v>
      </c>
      <c r="K543" s="12">
        <v>-32.479833022964527</v>
      </c>
      <c r="M543">
        <f t="shared" si="16"/>
        <v>0</v>
      </c>
      <c r="N543" s="13">
        <f t="shared" si="17"/>
        <v>1</v>
      </c>
      <c r="P543" s="14" t="s">
        <v>117</v>
      </c>
    </row>
    <row r="544" spans="1:16" x14ac:dyDescent="0.25">
      <c r="A544" s="1" t="s">
        <v>84</v>
      </c>
      <c r="B544" s="1" t="s">
        <v>80</v>
      </c>
      <c r="C544" t="s">
        <v>81</v>
      </c>
      <c r="E544" s="4">
        <v>53306</v>
      </c>
      <c r="F544" s="5">
        <v>-101.63</v>
      </c>
      <c r="H544" s="10" t="s">
        <v>818</v>
      </c>
      <c r="J544" s="6">
        <v>52727</v>
      </c>
      <c r="K544" s="12">
        <v>2430.0039473085039</v>
      </c>
      <c r="M544">
        <f t="shared" si="16"/>
        <v>579</v>
      </c>
      <c r="N544" s="13">
        <f t="shared" si="17"/>
        <v>-23.91</v>
      </c>
      <c r="P544" s="14" t="s">
        <v>819</v>
      </c>
    </row>
    <row r="545" spans="1:16" x14ac:dyDescent="0.25">
      <c r="A545" s="1" t="s">
        <v>715</v>
      </c>
      <c r="B545" s="1" t="s">
        <v>80</v>
      </c>
      <c r="C545" t="s">
        <v>81</v>
      </c>
      <c r="E545" s="4">
        <v>51084</v>
      </c>
      <c r="F545" s="5">
        <v>-11.2</v>
      </c>
      <c r="H545"/>
      <c r="J545" s="6">
        <v>51084</v>
      </c>
      <c r="K545" s="12">
        <v>-11.34806097530924</v>
      </c>
      <c r="M545">
        <f t="shared" si="16"/>
        <v>0</v>
      </c>
      <c r="N545" s="13">
        <f t="shared" si="17"/>
        <v>1.01</v>
      </c>
      <c r="P545" s="14" t="s">
        <v>117</v>
      </c>
    </row>
    <row r="546" spans="1:16" x14ac:dyDescent="0.25">
      <c r="A546" s="1" t="s">
        <v>716</v>
      </c>
      <c r="B546" s="1" t="s">
        <v>80</v>
      </c>
      <c r="C546" t="s">
        <v>81</v>
      </c>
      <c r="E546" s="4">
        <v>59186</v>
      </c>
      <c r="F546" s="5">
        <v>-105.19</v>
      </c>
      <c r="H546"/>
      <c r="J546" s="6">
        <v>59186</v>
      </c>
      <c r="K546" s="12">
        <v>-107.451256395222</v>
      </c>
      <c r="M546">
        <f t="shared" si="16"/>
        <v>0</v>
      </c>
      <c r="N546" s="13">
        <f t="shared" si="17"/>
        <v>1.02</v>
      </c>
      <c r="P546" s="14" t="s">
        <v>117</v>
      </c>
    </row>
    <row r="547" spans="1:16" x14ac:dyDescent="0.25">
      <c r="A547" s="1" t="s">
        <v>717</v>
      </c>
      <c r="B547" s="1" t="s">
        <v>80</v>
      </c>
      <c r="C547" t="s">
        <v>81</v>
      </c>
      <c r="E547" s="4">
        <v>63329</v>
      </c>
      <c r="F547" s="5">
        <v>143069.54</v>
      </c>
      <c r="G547" s="10" t="s">
        <v>198</v>
      </c>
      <c r="H547"/>
      <c r="J547" s="6">
        <v>54808</v>
      </c>
      <c r="K547" s="12">
        <v>28931.81602148154</v>
      </c>
      <c r="M547">
        <f t="shared" si="16"/>
        <v>8521</v>
      </c>
      <c r="N547" s="13">
        <f t="shared" si="17"/>
        <v>0.2</v>
      </c>
      <c r="P547" s="14"/>
    </row>
    <row r="548" spans="1:16" x14ac:dyDescent="0.25">
      <c r="A548" s="1" t="s">
        <v>718</v>
      </c>
      <c r="B548" s="1" t="s">
        <v>80</v>
      </c>
      <c r="C548" t="s">
        <v>81</v>
      </c>
      <c r="E548" s="4">
        <v>50369</v>
      </c>
      <c r="F548" s="5">
        <v>-16.64</v>
      </c>
      <c r="G548" s="10" t="s">
        <v>82</v>
      </c>
      <c r="H548"/>
      <c r="J548" s="6">
        <v>50369</v>
      </c>
      <c r="K548" s="12">
        <v>-17.638320195874631</v>
      </c>
      <c r="M548">
        <f t="shared" si="16"/>
        <v>0</v>
      </c>
      <c r="N548" s="13">
        <f t="shared" si="17"/>
        <v>1.06</v>
      </c>
      <c r="P548" s="14" t="s">
        <v>117</v>
      </c>
    </row>
    <row r="549" spans="1:16" x14ac:dyDescent="0.25">
      <c r="A549" s="1" t="s">
        <v>719</v>
      </c>
      <c r="B549" s="1" t="s">
        <v>80</v>
      </c>
      <c r="C549" t="s">
        <v>81</v>
      </c>
      <c r="E549" s="4">
        <v>47450</v>
      </c>
      <c r="F549" s="5">
        <v>-55.86</v>
      </c>
      <c r="H549"/>
      <c r="J549" s="6">
        <v>47450</v>
      </c>
      <c r="K549" s="12">
        <v>-56.029437834205908</v>
      </c>
      <c r="M549">
        <f t="shared" si="16"/>
        <v>0</v>
      </c>
      <c r="N549" s="13">
        <f t="shared" si="17"/>
        <v>1</v>
      </c>
      <c r="P549" s="14" t="s">
        <v>117</v>
      </c>
    </row>
    <row r="550" spans="1:16" x14ac:dyDescent="0.25">
      <c r="A550" s="1" t="s">
        <v>720</v>
      </c>
      <c r="B550" s="1" t="s">
        <v>80</v>
      </c>
      <c r="C550" t="s">
        <v>81</v>
      </c>
      <c r="E550" s="4">
        <v>65768</v>
      </c>
      <c r="F550" s="5">
        <v>-36.840000000000003</v>
      </c>
      <c r="H550"/>
      <c r="J550" s="6">
        <v>65768</v>
      </c>
      <c r="K550" s="12">
        <v>-47.436900867037927</v>
      </c>
      <c r="M550">
        <f t="shared" si="16"/>
        <v>0</v>
      </c>
      <c r="N550" s="13">
        <f t="shared" si="17"/>
        <v>1.29</v>
      </c>
      <c r="P550" s="14" t="s">
        <v>117</v>
      </c>
    </row>
    <row r="551" spans="1:16" x14ac:dyDescent="0.25">
      <c r="A551" s="1" t="s">
        <v>721</v>
      </c>
      <c r="B551" s="1" t="s">
        <v>80</v>
      </c>
      <c r="C551" t="s">
        <v>81</v>
      </c>
      <c r="E551" s="4">
        <v>47320</v>
      </c>
      <c r="F551" s="5">
        <v>-7.08</v>
      </c>
      <c r="H551"/>
      <c r="J551" s="6">
        <v>47320</v>
      </c>
      <c r="K551" s="12">
        <v>-7.0978396348607484</v>
      </c>
      <c r="M551">
        <f t="shared" si="16"/>
        <v>0</v>
      </c>
      <c r="N551" s="13">
        <f t="shared" si="17"/>
        <v>1</v>
      </c>
      <c r="P551" s="14" t="s">
        <v>117</v>
      </c>
    </row>
    <row r="552" spans="1:16" x14ac:dyDescent="0.25">
      <c r="A552" s="1" t="s">
        <v>722</v>
      </c>
      <c r="B552" s="1" t="s">
        <v>80</v>
      </c>
      <c r="C552" t="s">
        <v>81</v>
      </c>
      <c r="E552" s="4">
        <v>48689</v>
      </c>
      <c r="F552" s="5">
        <v>-59.95</v>
      </c>
      <c r="H552"/>
      <c r="J552" s="6">
        <v>48689</v>
      </c>
      <c r="K552" s="12">
        <v>-60.548472081947352</v>
      </c>
      <c r="M552">
        <f t="shared" si="16"/>
        <v>0</v>
      </c>
      <c r="N552" s="13">
        <f t="shared" si="17"/>
        <v>1.01</v>
      </c>
      <c r="P552" s="14" t="s">
        <v>117</v>
      </c>
    </row>
    <row r="553" spans="1:16" x14ac:dyDescent="0.25">
      <c r="A553" s="1" t="s">
        <v>723</v>
      </c>
      <c r="B553" s="1" t="s">
        <v>80</v>
      </c>
      <c r="C553" t="s">
        <v>81</v>
      </c>
      <c r="E553" s="4">
        <v>49276</v>
      </c>
      <c r="F553" s="5">
        <v>-68.459999999999994</v>
      </c>
      <c r="H553"/>
      <c r="J553" s="6">
        <v>49276</v>
      </c>
      <c r="K553" s="12">
        <v>-69.788653011428266</v>
      </c>
      <c r="M553">
        <f t="shared" si="16"/>
        <v>0</v>
      </c>
      <c r="N553" s="13">
        <f t="shared" si="17"/>
        <v>1.02</v>
      </c>
      <c r="P553" s="14" t="s">
        <v>117</v>
      </c>
    </row>
    <row r="554" spans="1:16" x14ac:dyDescent="0.25">
      <c r="A554" s="1" t="s">
        <v>724</v>
      </c>
      <c r="B554" s="1" t="s">
        <v>80</v>
      </c>
      <c r="C554" t="s">
        <v>81</v>
      </c>
      <c r="E554" s="4">
        <v>48225</v>
      </c>
      <c r="F554" s="5">
        <v>-21.46</v>
      </c>
      <c r="H554"/>
      <c r="J554" s="6">
        <v>48225</v>
      </c>
      <c r="K554" s="12">
        <v>-21.41668421470526</v>
      </c>
      <c r="M554">
        <f t="shared" si="16"/>
        <v>0</v>
      </c>
      <c r="N554" s="13">
        <f t="shared" si="17"/>
        <v>1</v>
      </c>
      <c r="P554" s="14" t="s">
        <v>117</v>
      </c>
    </row>
    <row r="555" spans="1:16" x14ac:dyDescent="0.25">
      <c r="A555" s="1" t="s">
        <v>725</v>
      </c>
      <c r="B555" s="1" t="s">
        <v>80</v>
      </c>
      <c r="C555" t="s">
        <v>81</v>
      </c>
      <c r="E555" s="4">
        <v>56424</v>
      </c>
      <c r="F555" s="5">
        <v>-964.22</v>
      </c>
      <c r="G555" s="10" t="s">
        <v>680</v>
      </c>
      <c r="H555"/>
      <c r="J555" s="6">
        <v>56424</v>
      </c>
      <c r="K555" s="12">
        <v>-979.33557750948921</v>
      </c>
      <c r="M555">
        <f t="shared" si="16"/>
        <v>0</v>
      </c>
      <c r="N555" s="13">
        <f t="shared" si="17"/>
        <v>1.02</v>
      </c>
      <c r="P555" s="14" t="s">
        <v>117</v>
      </c>
    </row>
    <row r="556" spans="1:16" x14ac:dyDescent="0.25">
      <c r="A556" s="1" t="s">
        <v>726</v>
      </c>
      <c r="B556" s="1" t="s">
        <v>80</v>
      </c>
      <c r="C556" t="s">
        <v>81</v>
      </c>
      <c r="E556" s="4">
        <v>53905</v>
      </c>
      <c r="F556" s="5">
        <v>-37.130000000000003</v>
      </c>
      <c r="H556"/>
      <c r="J556" s="6">
        <v>53905</v>
      </c>
      <c r="K556" s="12">
        <v>-37.456122038488267</v>
      </c>
      <c r="M556">
        <f t="shared" si="16"/>
        <v>0</v>
      </c>
      <c r="N556" s="13">
        <f t="shared" si="17"/>
        <v>1.01</v>
      </c>
      <c r="P556" s="14" t="s">
        <v>117</v>
      </c>
    </row>
    <row r="557" spans="1:16" x14ac:dyDescent="0.25">
      <c r="A557" s="1" t="s">
        <v>727</v>
      </c>
      <c r="B557" s="1" t="s">
        <v>80</v>
      </c>
      <c r="C557" t="s">
        <v>81</v>
      </c>
      <c r="E557" s="4">
        <v>56044</v>
      </c>
      <c r="F557" s="5">
        <v>-86.07</v>
      </c>
      <c r="H557"/>
      <c r="J557" s="6">
        <v>56044</v>
      </c>
      <c r="K557" s="12">
        <v>-87.299993229127097</v>
      </c>
      <c r="M557">
        <f t="shared" si="16"/>
        <v>0</v>
      </c>
      <c r="N557" s="13">
        <f t="shared" si="17"/>
        <v>1.01</v>
      </c>
      <c r="P557" s="14" t="s">
        <v>117</v>
      </c>
    </row>
    <row r="558" spans="1:16" x14ac:dyDescent="0.25">
      <c r="A558" s="1" t="s">
        <v>728</v>
      </c>
      <c r="B558" s="1" t="s">
        <v>80</v>
      </c>
      <c r="C558" t="s">
        <v>81</v>
      </c>
      <c r="E558" s="4">
        <v>49762</v>
      </c>
      <c r="F558" s="5">
        <v>-185.03</v>
      </c>
      <c r="H558"/>
      <c r="J558" s="6">
        <v>49762</v>
      </c>
      <c r="K558" s="12">
        <v>-186.05602344883741</v>
      </c>
      <c r="M558">
        <f t="shared" si="16"/>
        <v>0</v>
      </c>
      <c r="N558" s="13">
        <f t="shared" si="17"/>
        <v>1.01</v>
      </c>
      <c r="P558" s="14" t="s">
        <v>117</v>
      </c>
    </row>
    <row r="559" spans="1:16" x14ac:dyDescent="0.25">
      <c r="A559" s="1" t="s">
        <v>729</v>
      </c>
      <c r="B559" s="1" t="s">
        <v>80</v>
      </c>
      <c r="C559" t="s">
        <v>81</v>
      </c>
      <c r="E559" s="4">
        <v>80151</v>
      </c>
      <c r="F559" s="5">
        <v>294529.26</v>
      </c>
      <c r="G559" s="10" t="s">
        <v>198</v>
      </c>
      <c r="H559"/>
      <c r="J559" s="6">
        <v>70656</v>
      </c>
      <c r="K559" s="12">
        <v>102006.1197348897</v>
      </c>
      <c r="M559">
        <f t="shared" si="16"/>
        <v>9495</v>
      </c>
      <c r="N559" s="13">
        <f t="shared" si="17"/>
        <v>0.35</v>
      </c>
      <c r="P559" s="14"/>
    </row>
    <row r="560" spans="1:16" x14ac:dyDescent="0.25">
      <c r="A560" s="1" t="s">
        <v>730</v>
      </c>
      <c r="B560" s="1" t="s">
        <v>80</v>
      </c>
      <c r="C560" t="s">
        <v>81</v>
      </c>
      <c r="E560" s="4">
        <v>46198</v>
      </c>
      <c r="F560" s="5">
        <v>-416.42</v>
      </c>
      <c r="G560" s="10" t="s">
        <v>198</v>
      </c>
      <c r="H560"/>
      <c r="J560" s="6">
        <v>46198</v>
      </c>
      <c r="K560" s="12">
        <v>-424.74998313570859</v>
      </c>
      <c r="M560">
        <f t="shared" si="16"/>
        <v>0</v>
      </c>
      <c r="N560" s="13">
        <f t="shared" si="17"/>
        <v>1.02</v>
      </c>
      <c r="P560" s="14"/>
    </row>
    <row r="561" spans="1:17" x14ac:dyDescent="0.25">
      <c r="A561" s="1" t="s">
        <v>731</v>
      </c>
      <c r="B561" s="1" t="s">
        <v>80</v>
      </c>
      <c r="C561" t="s">
        <v>81</v>
      </c>
      <c r="E561" s="4">
        <v>56537</v>
      </c>
      <c r="F561" s="5">
        <v>-70.28</v>
      </c>
      <c r="H561"/>
      <c r="J561" s="6">
        <v>56537</v>
      </c>
      <c r="K561" s="12">
        <v>-70.923122824929038</v>
      </c>
      <c r="M561">
        <f t="shared" si="16"/>
        <v>0</v>
      </c>
      <c r="N561" s="13">
        <f t="shared" si="17"/>
        <v>1.01</v>
      </c>
      <c r="P561" s="14" t="s">
        <v>117</v>
      </c>
    </row>
    <row r="562" spans="1:17" x14ac:dyDescent="0.25">
      <c r="A562" s="1" t="s">
        <v>732</v>
      </c>
      <c r="B562" s="1" t="s">
        <v>80</v>
      </c>
      <c r="C562" t="s">
        <v>81</v>
      </c>
      <c r="E562" s="4">
        <v>52467</v>
      </c>
      <c r="F562" s="5">
        <v>-17.64</v>
      </c>
      <c r="G562" s="10" t="s">
        <v>680</v>
      </c>
      <c r="H562"/>
      <c r="J562" s="6">
        <v>52467</v>
      </c>
      <c r="K562" s="12">
        <v>-19.53212172817604</v>
      </c>
      <c r="M562">
        <f t="shared" si="16"/>
        <v>0</v>
      </c>
      <c r="N562" s="13">
        <f t="shared" si="17"/>
        <v>1.1100000000000001</v>
      </c>
      <c r="P562" s="14" t="s">
        <v>117</v>
      </c>
    </row>
    <row r="563" spans="1:17" x14ac:dyDescent="0.25">
      <c r="A563" s="1" t="s">
        <v>733</v>
      </c>
      <c r="B563" s="1" t="s">
        <v>80</v>
      </c>
      <c r="C563" t="s">
        <v>81</v>
      </c>
      <c r="E563" s="4">
        <v>48183</v>
      </c>
      <c r="F563" s="5">
        <v>-3.89</v>
      </c>
      <c r="G563" s="10" t="s">
        <v>678</v>
      </c>
      <c r="H563"/>
      <c r="J563" s="6">
        <v>48183</v>
      </c>
      <c r="K563" s="12">
        <v>-3.9464088236534991</v>
      </c>
      <c r="M563">
        <f t="shared" si="16"/>
        <v>0</v>
      </c>
      <c r="N563" s="13">
        <f t="shared" si="17"/>
        <v>1.01</v>
      </c>
      <c r="P563" s="14" t="s">
        <v>117</v>
      </c>
    </row>
    <row r="564" spans="1:17" x14ac:dyDescent="0.25">
      <c r="A564" s="1" t="s">
        <v>734</v>
      </c>
      <c r="B564" s="1" t="s">
        <v>80</v>
      </c>
      <c r="C564" t="s">
        <v>81</v>
      </c>
      <c r="E564" s="4">
        <v>56336</v>
      </c>
      <c r="F564" s="5">
        <v>-16.87</v>
      </c>
      <c r="G564" s="10" t="s">
        <v>73</v>
      </c>
      <c r="H564"/>
      <c r="J564" s="6">
        <v>56336</v>
      </c>
      <c r="K564" s="12">
        <v>-20.36495493559795</v>
      </c>
      <c r="M564">
        <f t="shared" si="16"/>
        <v>0</v>
      </c>
      <c r="N564" s="13">
        <f t="shared" si="17"/>
        <v>1.21</v>
      </c>
      <c r="P564" s="14" t="s">
        <v>117</v>
      </c>
    </row>
    <row r="565" spans="1:17" x14ac:dyDescent="0.25">
      <c r="A565" s="1" t="s">
        <v>735</v>
      </c>
      <c r="B565" s="1" t="s">
        <v>80</v>
      </c>
      <c r="C565" t="s">
        <v>81</v>
      </c>
      <c r="E565" s="4">
        <v>49972</v>
      </c>
      <c r="F565" s="5">
        <v>-7.6</v>
      </c>
      <c r="G565" s="10" t="s">
        <v>73</v>
      </c>
      <c r="H565"/>
      <c r="J565" s="6">
        <v>49972</v>
      </c>
      <c r="K565" s="12">
        <v>-7.5585634047190169</v>
      </c>
      <c r="M565">
        <f t="shared" si="16"/>
        <v>0</v>
      </c>
      <c r="N565" s="13">
        <f t="shared" si="17"/>
        <v>0.99</v>
      </c>
      <c r="P565" s="14" t="s">
        <v>117</v>
      </c>
    </row>
    <row r="566" spans="1:17" x14ac:dyDescent="0.25">
      <c r="A566" s="1" t="s">
        <v>736</v>
      </c>
      <c r="B566" s="1" t="s">
        <v>80</v>
      </c>
      <c r="C566" t="s">
        <v>81</v>
      </c>
      <c r="E566" s="4">
        <v>56102</v>
      </c>
      <c r="F566" s="5">
        <v>-3.84</v>
      </c>
      <c r="G566" s="10" t="s">
        <v>463</v>
      </c>
      <c r="H566"/>
      <c r="J566" s="6">
        <v>55921</v>
      </c>
      <c r="K566" s="12">
        <v>-67.754166098132998</v>
      </c>
      <c r="M566">
        <f t="shared" si="16"/>
        <v>181</v>
      </c>
      <c r="N566" s="13">
        <f t="shared" si="17"/>
        <v>17.64</v>
      </c>
      <c r="P566" s="14"/>
    </row>
    <row r="567" spans="1:17" x14ac:dyDescent="0.25">
      <c r="A567" s="1" t="s">
        <v>85</v>
      </c>
      <c r="B567" s="1" t="s">
        <v>80</v>
      </c>
      <c r="C567" t="s">
        <v>81</v>
      </c>
      <c r="E567" s="4">
        <v>80279</v>
      </c>
      <c r="F567" s="5">
        <v>285226.09000000003</v>
      </c>
      <c r="H567"/>
      <c r="J567" s="6">
        <v>70784</v>
      </c>
      <c r="K567" s="12">
        <v>41763.3409587188</v>
      </c>
      <c r="M567">
        <f t="shared" si="16"/>
        <v>9495</v>
      </c>
      <c r="N567" s="13">
        <f t="shared" si="17"/>
        <v>0.15</v>
      </c>
      <c r="P567" s="14" t="s">
        <v>170</v>
      </c>
    </row>
    <row r="568" spans="1:17" x14ac:dyDescent="0.25">
      <c r="A568" s="1" t="s">
        <v>737</v>
      </c>
      <c r="B568" s="1" t="s">
        <v>80</v>
      </c>
      <c r="C568" t="s">
        <v>81</v>
      </c>
      <c r="E568" s="4">
        <v>48019</v>
      </c>
      <c r="F568" s="5">
        <v>-19.79</v>
      </c>
      <c r="H568"/>
      <c r="J568" s="6">
        <v>48019</v>
      </c>
      <c r="K568" s="12">
        <v>-20.36159407014355</v>
      </c>
      <c r="M568">
        <f t="shared" si="16"/>
        <v>0</v>
      </c>
      <c r="N568" s="13">
        <f t="shared" si="17"/>
        <v>1.03</v>
      </c>
      <c r="P568" s="14" t="s">
        <v>117</v>
      </c>
    </row>
    <row r="569" spans="1:17" x14ac:dyDescent="0.25">
      <c r="A569" s="1" t="s">
        <v>86</v>
      </c>
      <c r="B569" s="1" t="s">
        <v>80</v>
      </c>
      <c r="C569" t="s">
        <v>81</v>
      </c>
      <c r="E569" s="4">
        <v>49510</v>
      </c>
      <c r="F569" s="5">
        <v>-263.13</v>
      </c>
      <c r="H569" s="10" t="s">
        <v>818</v>
      </c>
      <c r="J569" s="6">
        <v>49329</v>
      </c>
      <c r="K569" s="12">
        <v>1497.908286748913</v>
      </c>
      <c r="M569">
        <f t="shared" si="16"/>
        <v>181</v>
      </c>
      <c r="N569" s="13">
        <f t="shared" si="17"/>
        <v>-5.69</v>
      </c>
      <c r="P569" s="14" t="s">
        <v>819</v>
      </c>
      <c r="Q569" t="s">
        <v>738</v>
      </c>
    </row>
    <row r="570" spans="1:17" x14ac:dyDescent="0.25">
      <c r="A570" s="1" t="s">
        <v>739</v>
      </c>
      <c r="B570" s="1" t="s">
        <v>80</v>
      </c>
      <c r="C570" t="s">
        <v>81</v>
      </c>
      <c r="E570" s="4">
        <v>58462</v>
      </c>
      <c r="F570" s="5">
        <v>-139.58000000000001</v>
      </c>
      <c r="H570"/>
      <c r="J570" s="6">
        <v>55692</v>
      </c>
      <c r="K570" s="12">
        <v>14495.56260270175</v>
      </c>
      <c r="M570">
        <f t="shared" si="16"/>
        <v>2770</v>
      </c>
      <c r="N570" s="13">
        <f t="shared" si="17"/>
        <v>-103.85</v>
      </c>
      <c r="P570" s="14" t="s">
        <v>117</v>
      </c>
    </row>
    <row r="571" spans="1:17" x14ac:dyDescent="0.25">
      <c r="A571" s="1" t="s">
        <v>740</v>
      </c>
      <c r="B571" s="1" t="s">
        <v>80</v>
      </c>
      <c r="C571" t="s">
        <v>81</v>
      </c>
      <c r="E571" s="4">
        <v>48026</v>
      </c>
      <c r="F571" s="5">
        <v>-80.08</v>
      </c>
      <c r="H571"/>
      <c r="J571" s="6">
        <v>48026</v>
      </c>
      <c r="K571" s="12">
        <v>-80.48981837360823</v>
      </c>
      <c r="M571">
        <f t="shared" si="16"/>
        <v>0</v>
      </c>
      <c r="N571" s="13">
        <f t="shared" si="17"/>
        <v>1.01</v>
      </c>
      <c r="P571" s="14" t="s">
        <v>117</v>
      </c>
    </row>
    <row r="572" spans="1:17" x14ac:dyDescent="0.25">
      <c r="A572" s="1" t="s">
        <v>741</v>
      </c>
      <c r="B572" s="1" t="s">
        <v>80</v>
      </c>
      <c r="C572" t="s">
        <v>81</v>
      </c>
      <c r="E572" s="4">
        <v>48210</v>
      </c>
      <c r="F572" s="5">
        <v>-14.25</v>
      </c>
      <c r="H572"/>
      <c r="J572" s="6">
        <v>48210</v>
      </c>
      <c r="K572" s="12">
        <v>-14.346078345435471</v>
      </c>
      <c r="M572">
        <f t="shared" si="16"/>
        <v>0</v>
      </c>
      <c r="N572" s="13">
        <f t="shared" si="17"/>
        <v>1.01</v>
      </c>
      <c r="P572" s="14" t="s">
        <v>117</v>
      </c>
    </row>
    <row r="573" spans="1:17" x14ac:dyDescent="0.25">
      <c r="A573" s="1" t="s">
        <v>742</v>
      </c>
      <c r="B573" s="1" t="s">
        <v>80</v>
      </c>
      <c r="C573" t="s">
        <v>81</v>
      </c>
      <c r="E573" s="4">
        <v>49439</v>
      </c>
      <c r="F573" s="5">
        <v>-7.53</v>
      </c>
      <c r="G573" s="10" t="s">
        <v>73</v>
      </c>
      <c r="H573"/>
      <c r="J573" s="6">
        <v>49439</v>
      </c>
      <c r="K573" s="12">
        <v>-7.6583363425487789</v>
      </c>
      <c r="M573">
        <f t="shared" si="16"/>
        <v>0</v>
      </c>
      <c r="N573" s="13">
        <f t="shared" si="17"/>
        <v>1.02</v>
      </c>
      <c r="P573" s="14" t="s">
        <v>117</v>
      </c>
    </row>
    <row r="574" spans="1:17" x14ac:dyDescent="0.25">
      <c r="A574" s="1" t="s">
        <v>743</v>
      </c>
      <c r="B574" s="1" t="s">
        <v>80</v>
      </c>
      <c r="C574" t="s">
        <v>81</v>
      </c>
      <c r="E574" s="4">
        <v>69752</v>
      </c>
      <c r="F574" s="5">
        <v>75117.2</v>
      </c>
      <c r="G574" s="10" t="s">
        <v>463</v>
      </c>
      <c r="H574"/>
      <c r="J574" s="6">
        <v>69752</v>
      </c>
      <c r="K574" s="12">
        <v>71868.407305179964</v>
      </c>
      <c r="M574">
        <f t="shared" si="16"/>
        <v>0</v>
      </c>
      <c r="N574" s="13">
        <f t="shared" si="17"/>
        <v>0.96</v>
      </c>
      <c r="P574" s="14"/>
    </row>
    <row r="575" spans="1:17" x14ac:dyDescent="0.25">
      <c r="A575" s="1" t="s">
        <v>744</v>
      </c>
      <c r="B575" s="1" t="s">
        <v>80</v>
      </c>
      <c r="C575" t="s">
        <v>81</v>
      </c>
      <c r="E575" s="4">
        <v>53893</v>
      </c>
      <c r="F575" s="5">
        <v>-22.95</v>
      </c>
      <c r="G575" s="10" t="s">
        <v>73</v>
      </c>
      <c r="H575"/>
      <c r="J575" s="6">
        <v>53893</v>
      </c>
      <c r="K575" s="12">
        <v>-23.164251535251029</v>
      </c>
      <c r="M575">
        <f t="shared" si="16"/>
        <v>0</v>
      </c>
      <c r="N575" s="13">
        <f t="shared" si="17"/>
        <v>1.01</v>
      </c>
      <c r="P575" s="14" t="s">
        <v>117</v>
      </c>
    </row>
    <row r="576" spans="1:17" x14ac:dyDescent="0.25">
      <c r="A576" s="1" t="s">
        <v>745</v>
      </c>
      <c r="B576" s="1" t="s">
        <v>80</v>
      </c>
      <c r="C576" t="s">
        <v>81</v>
      </c>
      <c r="E576" s="4">
        <v>58573</v>
      </c>
      <c r="F576" s="5">
        <v>-96.64</v>
      </c>
      <c r="H576"/>
      <c r="J576" s="6">
        <v>51909</v>
      </c>
      <c r="K576" s="12">
        <v>8728.3404075484941</v>
      </c>
      <c r="M576">
        <f t="shared" si="16"/>
        <v>6664</v>
      </c>
      <c r="N576" s="13">
        <f t="shared" si="17"/>
        <v>-90.32</v>
      </c>
      <c r="P576" s="14" t="s">
        <v>117</v>
      </c>
    </row>
    <row r="577" spans="1:16" x14ac:dyDescent="0.25">
      <c r="A577" s="1" t="s">
        <v>746</v>
      </c>
      <c r="B577" s="1" t="s">
        <v>80</v>
      </c>
      <c r="C577" t="s">
        <v>81</v>
      </c>
      <c r="E577" s="4">
        <v>62980</v>
      </c>
      <c r="F577" s="5">
        <v>-106.6</v>
      </c>
      <c r="H577"/>
      <c r="J577" s="6">
        <v>62980</v>
      </c>
      <c r="K577" s="12">
        <v>-108.078806310985</v>
      </c>
      <c r="M577">
        <f t="shared" si="16"/>
        <v>0</v>
      </c>
      <c r="N577" s="13">
        <f t="shared" si="17"/>
        <v>1.01</v>
      </c>
      <c r="P577" s="14" t="s">
        <v>117</v>
      </c>
    </row>
    <row r="578" spans="1:16" x14ac:dyDescent="0.25">
      <c r="A578" s="1" t="s">
        <v>747</v>
      </c>
      <c r="B578" s="1" t="s">
        <v>80</v>
      </c>
      <c r="C578" t="s">
        <v>81</v>
      </c>
      <c r="E578" s="4">
        <v>63771</v>
      </c>
      <c r="F578" s="5">
        <v>-53.24</v>
      </c>
      <c r="H578"/>
      <c r="J578" s="6">
        <v>63771</v>
      </c>
      <c r="K578" s="12">
        <v>-57.238013224254978</v>
      </c>
      <c r="M578">
        <f t="shared" ref="M578:M641" si="18">E578-J578</f>
        <v>0</v>
      </c>
      <c r="N578" s="13">
        <f t="shared" ref="N578:N641" si="19">ROUND(K578/F578,2)</f>
        <v>1.08</v>
      </c>
      <c r="P578" s="14" t="s">
        <v>117</v>
      </c>
    </row>
    <row r="579" spans="1:16" x14ac:dyDescent="0.25">
      <c r="A579" s="1" t="s">
        <v>748</v>
      </c>
      <c r="B579" s="1" t="s">
        <v>80</v>
      </c>
      <c r="C579" t="s">
        <v>81</v>
      </c>
      <c r="E579" s="4">
        <v>60219</v>
      </c>
      <c r="F579" s="5">
        <v>79253.320000000007</v>
      </c>
      <c r="G579" s="10" t="s">
        <v>662</v>
      </c>
      <c r="H579"/>
      <c r="J579" s="6">
        <v>60219</v>
      </c>
      <c r="K579" s="12">
        <v>81884.568223081529</v>
      </c>
      <c r="M579">
        <f t="shared" si="18"/>
        <v>0</v>
      </c>
      <c r="N579" s="13">
        <f t="shared" si="19"/>
        <v>1.03</v>
      </c>
      <c r="P579" s="14"/>
    </row>
    <row r="580" spans="1:16" x14ac:dyDescent="0.25">
      <c r="A580" s="1" t="s">
        <v>749</v>
      </c>
      <c r="B580" s="1" t="s">
        <v>80</v>
      </c>
      <c r="C580" t="s">
        <v>81</v>
      </c>
      <c r="E580" s="4">
        <v>48305</v>
      </c>
      <c r="F580" s="5">
        <v>-46.78</v>
      </c>
      <c r="H580"/>
      <c r="J580" s="6">
        <v>48305</v>
      </c>
      <c r="K580" s="12">
        <v>-46.954320706292592</v>
      </c>
      <c r="M580">
        <f t="shared" si="18"/>
        <v>0</v>
      </c>
      <c r="N580" s="13">
        <f t="shared" si="19"/>
        <v>1</v>
      </c>
      <c r="P580" s="14" t="s">
        <v>117</v>
      </c>
    </row>
    <row r="581" spans="1:16" x14ac:dyDescent="0.25">
      <c r="A581" s="1" t="s">
        <v>750</v>
      </c>
      <c r="B581" s="1" t="s">
        <v>80</v>
      </c>
      <c r="C581" t="s">
        <v>81</v>
      </c>
      <c r="E581" s="4">
        <v>54650</v>
      </c>
      <c r="F581" s="5">
        <v>-174.76</v>
      </c>
      <c r="G581" s="10" t="s">
        <v>82</v>
      </c>
      <c r="H581"/>
      <c r="J581" s="6">
        <v>54803</v>
      </c>
      <c r="K581" s="12">
        <v>-181.4773155350162</v>
      </c>
      <c r="M581">
        <f t="shared" si="18"/>
        <v>-153</v>
      </c>
      <c r="N581" s="13">
        <f t="shared" si="19"/>
        <v>1.04</v>
      </c>
      <c r="P581" s="14" t="s">
        <v>117</v>
      </c>
    </row>
    <row r="582" spans="1:16" x14ac:dyDescent="0.25">
      <c r="A582" s="1" t="s">
        <v>751</v>
      </c>
      <c r="B582" s="1" t="s">
        <v>80</v>
      </c>
      <c r="C582" t="s">
        <v>81</v>
      </c>
      <c r="E582" s="4">
        <v>58264</v>
      </c>
      <c r="F582" s="5">
        <v>-36.049999999999997</v>
      </c>
      <c r="H582"/>
      <c r="J582" s="6">
        <v>58264</v>
      </c>
      <c r="K582" s="12">
        <v>-45.252289784607228</v>
      </c>
      <c r="M582">
        <f t="shared" si="18"/>
        <v>0</v>
      </c>
      <c r="N582" s="13">
        <f t="shared" si="19"/>
        <v>1.26</v>
      </c>
      <c r="P582" s="14" t="s">
        <v>117</v>
      </c>
    </row>
    <row r="583" spans="1:16" x14ac:dyDescent="0.25">
      <c r="A583" s="1" t="s">
        <v>752</v>
      </c>
      <c r="B583" s="1" t="s">
        <v>80</v>
      </c>
      <c r="C583" t="s">
        <v>81</v>
      </c>
      <c r="E583" s="4">
        <v>48630</v>
      </c>
      <c r="F583" s="5">
        <v>-68.150000000000006</v>
      </c>
      <c r="H583"/>
      <c r="J583" s="6">
        <v>48630</v>
      </c>
      <c r="K583" s="12">
        <v>-70.078346382059067</v>
      </c>
      <c r="M583">
        <f t="shared" si="18"/>
        <v>0</v>
      </c>
      <c r="N583" s="13">
        <f t="shared" si="19"/>
        <v>1.03</v>
      </c>
      <c r="P583" s="14" t="s">
        <v>117</v>
      </c>
    </row>
    <row r="584" spans="1:16" x14ac:dyDescent="0.25">
      <c r="A584" s="1" t="s">
        <v>753</v>
      </c>
      <c r="B584" s="1" t="s">
        <v>80</v>
      </c>
      <c r="C584" t="s">
        <v>81</v>
      </c>
      <c r="E584" s="4">
        <v>49006</v>
      </c>
      <c r="F584" s="5">
        <v>-56.2</v>
      </c>
      <c r="H584"/>
      <c r="J584" s="6">
        <v>49006</v>
      </c>
      <c r="K584" s="12">
        <v>-56.415215974707451</v>
      </c>
      <c r="M584">
        <f t="shared" si="18"/>
        <v>0</v>
      </c>
      <c r="N584" s="13">
        <f t="shared" si="19"/>
        <v>1</v>
      </c>
      <c r="P584" s="14" t="s">
        <v>117</v>
      </c>
    </row>
    <row r="585" spans="1:16" x14ac:dyDescent="0.25">
      <c r="A585" s="1" t="s">
        <v>754</v>
      </c>
      <c r="B585" s="1" t="s">
        <v>80</v>
      </c>
      <c r="C585" t="s">
        <v>81</v>
      </c>
      <c r="E585" s="4">
        <v>61779</v>
      </c>
      <c r="F585" s="5">
        <v>79233.429999999993</v>
      </c>
      <c r="G585" s="10" t="s">
        <v>73</v>
      </c>
      <c r="H585"/>
      <c r="J585" s="6">
        <v>52037</v>
      </c>
      <c r="K585" s="12">
        <v>16165.947349727579</v>
      </c>
      <c r="M585">
        <f t="shared" si="18"/>
        <v>9742</v>
      </c>
      <c r="N585" s="13">
        <f t="shared" si="19"/>
        <v>0.2</v>
      </c>
      <c r="P585" s="14" t="s">
        <v>217</v>
      </c>
    </row>
    <row r="586" spans="1:16" x14ac:dyDescent="0.25">
      <c r="A586" s="1" t="s">
        <v>755</v>
      </c>
      <c r="B586" s="1" t="s">
        <v>80</v>
      </c>
      <c r="C586" t="s">
        <v>81</v>
      </c>
      <c r="E586" s="4">
        <v>47500</v>
      </c>
      <c r="F586" s="5">
        <v>-124.69</v>
      </c>
      <c r="H586"/>
      <c r="J586" s="6">
        <v>47500</v>
      </c>
      <c r="K586" s="12">
        <v>-125.9026605509351</v>
      </c>
      <c r="M586">
        <f t="shared" si="18"/>
        <v>0</v>
      </c>
      <c r="N586" s="13">
        <f t="shared" si="19"/>
        <v>1.01</v>
      </c>
      <c r="P586" s="14" t="s">
        <v>117</v>
      </c>
    </row>
    <row r="587" spans="1:16" x14ac:dyDescent="0.25">
      <c r="A587" s="1" t="s">
        <v>756</v>
      </c>
      <c r="B587" s="1" t="s">
        <v>80</v>
      </c>
      <c r="C587" t="s">
        <v>81</v>
      </c>
      <c r="E587" s="4">
        <v>49018</v>
      </c>
      <c r="F587" s="5">
        <v>-41.16</v>
      </c>
      <c r="G587" s="10" t="s">
        <v>463</v>
      </c>
      <c r="H587"/>
      <c r="J587" s="6">
        <v>48837</v>
      </c>
      <c r="K587" s="12">
        <v>-59.792181536679273</v>
      </c>
      <c r="M587">
        <f t="shared" si="18"/>
        <v>181</v>
      </c>
      <c r="N587" s="13">
        <f t="shared" si="19"/>
        <v>1.45</v>
      </c>
      <c r="P587" s="14"/>
    </row>
    <row r="588" spans="1:16" x14ac:dyDescent="0.25">
      <c r="A588" s="1" t="s">
        <v>757</v>
      </c>
      <c r="B588" s="1" t="s">
        <v>80</v>
      </c>
      <c r="C588" t="s">
        <v>81</v>
      </c>
      <c r="E588" s="4">
        <v>48995</v>
      </c>
      <c r="F588" s="5">
        <v>-127.01</v>
      </c>
      <c r="H588"/>
      <c r="J588" s="6">
        <v>48995</v>
      </c>
      <c r="K588" s="12">
        <v>-127.8055469685151</v>
      </c>
      <c r="M588">
        <f t="shared" si="18"/>
        <v>0</v>
      </c>
      <c r="N588" s="13">
        <f t="shared" si="19"/>
        <v>1.01</v>
      </c>
      <c r="P588" s="14" t="s">
        <v>117</v>
      </c>
    </row>
    <row r="589" spans="1:16" x14ac:dyDescent="0.25">
      <c r="A589" s="1" t="s">
        <v>758</v>
      </c>
      <c r="B589" s="1" t="s">
        <v>80</v>
      </c>
      <c r="C589" t="s">
        <v>81</v>
      </c>
      <c r="E589" s="4">
        <v>51812</v>
      </c>
      <c r="F589" s="5">
        <v>-16.079999999999998</v>
      </c>
      <c r="H589"/>
      <c r="J589" s="6">
        <v>51812</v>
      </c>
      <c r="K589" s="12">
        <v>-16.420943093022458</v>
      </c>
      <c r="M589">
        <f t="shared" si="18"/>
        <v>0</v>
      </c>
      <c r="N589" s="13">
        <f t="shared" si="19"/>
        <v>1.02</v>
      </c>
      <c r="P589" s="14" t="s">
        <v>117</v>
      </c>
    </row>
    <row r="590" spans="1:16" x14ac:dyDescent="0.25">
      <c r="A590" s="1" t="s">
        <v>759</v>
      </c>
      <c r="B590" s="1" t="s">
        <v>80</v>
      </c>
      <c r="C590" t="s">
        <v>81</v>
      </c>
      <c r="E590" s="4">
        <v>61004</v>
      </c>
      <c r="F590" s="5">
        <v>-295.22000000000003</v>
      </c>
      <c r="H590"/>
      <c r="J590" s="6">
        <v>51932</v>
      </c>
      <c r="K590" s="12">
        <v>8307.5374869165189</v>
      </c>
      <c r="M590">
        <f t="shared" si="18"/>
        <v>9072</v>
      </c>
      <c r="N590" s="13">
        <f t="shared" si="19"/>
        <v>-28.14</v>
      </c>
      <c r="P590" s="14" t="s">
        <v>117</v>
      </c>
    </row>
    <row r="591" spans="1:16" x14ac:dyDescent="0.25">
      <c r="A591" s="1" t="s">
        <v>87</v>
      </c>
      <c r="B591" s="1" t="s">
        <v>80</v>
      </c>
      <c r="C591" t="s">
        <v>81</v>
      </c>
      <c r="E591" s="4">
        <v>70501</v>
      </c>
      <c r="F591" s="5">
        <v>99230.399999999994</v>
      </c>
      <c r="H591"/>
      <c r="J591" s="6">
        <v>70501</v>
      </c>
      <c r="K591" s="12">
        <v>99209.062965130011</v>
      </c>
      <c r="M591">
        <f t="shared" si="18"/>
        <v>0</v>
      </c>
      <c r="N591" s="13">
        <f t="shared" si="19"/>
        <v>1</v>
      </c>
      <c r="P591" s="14" t="s">
        <v>117</v>
      </c>
    </row>
    <row r="592" spans="1:16" x14ac:dyDescent="0.25">
      <c r="A592" s="1" t="s">
        <v>760</v>
      </c>
      <c r="B592" s="1" t="s">
        <v>80</v>
      </c>
      <c r="C592" t="s">
        <v>81</v>
      </c>
      <c r="E592" s="4">
        <v>48404</v>
      </c>
      <c r="F592" s="5">
        <v>-78.03</v>
      </c>
      <c r="H592"/>
      <c r="J592" s="6">
        <v>48404</v>
      </c>
      <c r="K592" s="12">
        <v>-78.244971523527397</v>
      </c>
      <c r="M592">
        <f t="shared" si="18"/>
        <v>0</v>
      </c>
      <c r="N592" s="13">
        <f t="shared" si="19"/>
        <v>1</v>
      </c>
      <c r="P592" s="14" t="s">
        <v>117</v>
      </c>
    </row>
    <row r="593" spans="1:16" x14ac:dyDescent="0.25">
      <c r="A593" s="1" t="s">
        <v>761</v>
      </c>
      <c r="B593" s="1" t="s">
        <v>80</v>
      </c>
      <c r="C593" t="s">
        <v>81</v>
      </c>
      <c r="E593" s="4">
        <v>49108</v>
      </c>
      <c r="F593" s="5">
        <v>-80.61</v>
      </c>
      <c r="G593" s="10" t="s">
        <v>73</v>
      </c>
      <c r="H593"/>
      <c r="J593" s="6">
        <v>49108</v>
      </c>
      <c r="K593" s="12">
        <v>-80.801684809337218</v>
      </c>
      <c r="M593">
        <f t="shared" si="18"/>
        <v>0</v>
      </c>
      <c r="N593" s="13">
        <f t="shared" si="19"/>
        <v>1</v>
      </c>
      <c r="P593" s="14" t="s">
        <v>117</v>
      </c>
    </row>
    <row r="594" spans="1:16" x14ac:dyDescent="0.25">
      <c r="A594" s="1" t="s">
        <v>762</v>
      </c>
      <c r="B594" s="1" t="s">
        <v>80</v>
      </c>
      <c r="C594" t="s">
        <v>81</v>
      </c>
      <c r="E594" s="4">
        <v>50327</v>
      </c>
      <c r="F594" s="5">
        <v>-18.010000000000002</v>
      </c>
      <c r="H594"/>
      <c r="J594" s="6">
        <v>50327</v>
      </c>
      <c r="K594" s="12">
        <v>-18.063271753286809</v>
      </c>
      <c r="M594">
        <f t="shared" si="18"/>
        <v>0</v>
      </c>
      <c r="N594" s="13">
        <f t="shared" si="19"/>
        <v>1</v>
      </c>
      <c r="P594" s="14" t="s">
        <v>117</v>
      </c>
    </row>
    <row r="595" spans="1:16" x14ac:dyDescent="0.25">
      <c r="A595" s="1" t="s">
        <v>88</v>
      </c>
      <c r="B595" s="1" t="s">
        <v>80</v>
      </c>
      <c r="C595" t="s">
        <v>81</v>
      </c>
      <c r="E595" s="4">
        <v>80366</v>
      </c>
      <c r="F595" s="5">
        <v>551794.67000000004</v>
      </c>
      <c r="H595" s="10" t="s">
        <v>816</v>
      </c>
      <c r="J595" s="6">
        <v>70871</v>
      </c>
      <c r="K595" s="12">
        <v>210251.85450629861</v>
      </c>
      <c r="M595">
        <f t="shared" si="18"/>
        <v>9495</v>
      </c>
      <c r="N595" s="13">
        <f t="shared" si="19"/>
        <v>0.38</v>
      </c>
      <c r="P595" s="14" t="s">
        <v>819</v>
      </c>
    </row>
    <row r="596" spans="1:16" x14ac:dyDescent="0.25">
      <c r="A596" s="1" t="s">
        <v>763</v>
      </c>
      <c r="B596" s="1" t="s">
        <v>80</v>
      </c>
      <c r="C596" t="s">
        <v>81</v>
      </c>
      <c r="E596" s="4">
        <v>50663</v>
      </c>
      <c r="F596" s="5">
        <v>-84.23</v>
      </c>
      <c r="H596"/>
      <c r="J596" s="6">
        <v>50663</v>
      </c>
      <c r="K596" s="12">
        <v>-84.532814979155717</v>
      </c>
      <c r="M596">
        <f t="shared" si="18"/>
        <v>0</v>
      </c>
      <c r="N596" s="13">
        <f t="shared" si="19"/>
        <v>1</v>
      </c>
      <c r="P596" s="14" t="s">
        <v>117</v>
      </c>
    </row>
    <row r="597" spans="1:16" x14ac:dyDescent="0.25">
      <c r="A597" s="1" t="s">
        <v>764</v>
      </c>
      <c r="B597" s="1" t="s">
        <v>80</v>
      </c>
      <c r="C597" t="s">
        <v>81</v>
      </c>
      <c r="E597" s="4">
        <v>51857</v>
      </c>
      <c r="F597" s="5">
        <v>-124.9</v>
      </c>
      <c r="H597"/>
      <c r="J597" s="6">
        <v>51857</v>
      </c>
      <c r="K597" s="12">
        <v>-127.8910949520305</v>
      </c>
      <c r="M597">
        <f t="shared" si="18"/>
        <v>0</v>
      </c>
      <c r="N597" s="13">
        <f t="shared" si="19"/>
        <v>1.02</v>
      </c>
      <c r="P597" s="14" t="s">
        <v>117</v>
      </c>
    </row>
    <row r="598" spans="1:16" x14ac:dyDescent="0.25">
      <c r="A598" s="1" t="s">
        <v>765</v>
      </c>
      <c r="B598" s="1" t="s">
        <v>80</v>
      </c>
      <c r="C598" t="s">
        <v>81</v>
      </c>
      <c r="E598" s="4">
        <v>68841</v>
      </c>
      <c r="F598" s="5">
        <v>-958.28</v>
      </c>
      <c r="H598"/>
      <c r="J598" s="6">
        <v>68841</v>
      </c>
      <c r="K598" s="12">
        <v>-1063.687538703181</v>
      </c>
      <c r="M598">
        <f t="shared" si="18"/>
        <v>0</v>
      </c>
      <c r="N598" s="13">
        <f t="shared" si="19"/>
        <v>1.1100000000000001</v>
      </c>
      <c r="P598" s="14" t="s">
        <v>117</v>
      </c>
    </row>
    <row r="599" spans="1:16" x14ac:dyDescent="0.25">
      <c r="A599" s="1" t="s">
        <v>766</v>
      </c>
      <c r="B599" s="1" t="s">
        <v>80</v>
      </c>
      <c r="C599" t="s">
        <v>81</v>
      </c>
      <c r="E599" s="4">
        <v>55257</v>
      </c>
      <c r="F599" s="5">
        <v>-163.29</v>
      </c>
      <c r="H599"/>
      <c r="J599" s="6">
        <v>55257</v>
      </c>
      <c r="K599" s="12">
        <v>-164.12972193955139</v>
      </c>
      <c r="M599">
        <f t="shared" si="18"/>
        <v>0</v>
      </c>
      <c r="N599" s="13">
        <f t="shared" si="19"/>
        <v>1.01</v>
      </c>
      <c r="P599" s="14" t="s">
        <v>117</v>
      </c>
    </row>
    <row r="600" spans="1:16" x14ac:dyDescent="0.25">
      <c r="A600" s="1" t="s">
        <v>767</v>
      </c>
      <c r="B600" s="1" t="s">
        <v>80</v>
      </c>
      <c r="C600" t="s">
        <v>81</v>
      </c>
      <c r="E600" s="4">
        <v>58555</v>
      </c>
      <c r="F600" s="5">
        <v>-299.29000000000002</v>
      </c>
      <c r="H600"/>
      <c r="J600" s="6">
        <v>58555</v>
      </c>
      <c r="K600" s="12">
        <v>-303.78733275103872</v>
      </c>
      <c r="M600">
        <f t="shared" si="18"/>
        <v>0</v>
      </c>
      <c r="N600" s="13">
        <f t="shared" si="19"/>
        <v>1.02</v>
      </c>
      <c r="P600" s="14" t="s">
        <v>117</v>
      </c>
    </row>
    <row r="601" spans="1:16" x14ac:dyDescent="0.25">
      <c r="A601" s="1" t="s">
        <v>768</v>
      </c>
      <c r="B601" s="1" t="s">
        <v>80</v>
      </c>
      <c r="C601" t="s">
        <v>81</v>
      </c>
      <c r="E601" s="4">
        <v>49188</v>
      </c>
      <c r="F601" s="5">
        <v>-16.95</v>
      </c>
      <c r="H601"/>
      <c r="J601" s="6">
        <v>49188</v>
      </c>
      <c r="K601" s="12">
        <v>-17.031322686038351</v>
      </c>
      <c r="M601">
        <f t="shared" si="18"/>
        <v>0</v>
      </c>
      <c r="N601" s="13">
        <f t="shared" si="19"/>
        <v>1</v>
      </c>
      <c r="P601" s="14" t="s">
        <v>117</v>
      </c>
    </row>
    <row r="602" spans="1:16" x14ac:dyDescent="0.25">
      <c r="A602" s="1" t="s">
        <v>769</v>
      </c>
      <c r="B602" s="1" t="s">
        <v>80</v>
      </c>
      <c r="C602" t="s">
        <v>81</v>
      </c>
      <c r="E602" s="4">
        <v>65240</v>
      </c>
      <c r="F602" s="5">
        <v>-903.65</v>
      </c>
      <c r="H602"/>
      <c r="J602" s="6">
        <v>65240</v>
      </c>
      <c r="K602" s="12">
        <v>-906.73610319201191</v>
      </c>
      <c r="M602">
        <f t="shared" si="18"/>
        <v>0</v>
      </c>
      <c r="N602" s="13">
        <f t="shared" si="19"/>
        <v>1</v>
      </c>
      <c r="P602" s="14" t="s">
        <v>117</v>
      </c>
    </row>
    <row r="603" spans="1:16" x14ac:dyDescent="0.25">
      <c r="A603" s="1" t="s">
        <v>770</v>
      </c>
      <c r="B603" s="1" t="s">
        <v>80</v>
      </c>
      <c r="C603" t="s">
        <v>81</v>
      </c>
      <c r="E603" s="4">
        <v>65111</v>
      </c>
      <c r="F603" s="5">
        <v>-223.88</v>
      </c>
      <c r="H603"/>
      <c r="J603" s="6">
        <v>65111</v>
      </c>
      <c r="K603" s="12">
        <v>-223.0748434968815</v>
      </c>
      <c r="M603">
        <f t="shared" si="18"/>
        <v>0</v>
      </c>
      <c r="N603" s="13">
        <f t="shared" si="19"/>
        <v>1</v>
      </c>
      <c r="P603" s="14" t="s">
        <v>117</v>
      </c>
    </row>
    <row r="604" spans="1:16" x14ac:dyDescent="0.25">
      <c r="A604" s="1" t="s">
        <v>771</v>
      </c>
      <c r="B604" s="1" t="s">
        <v>80</v>
      </c>
      <c r="C604" t="s">
        <v>81</v>
      </c>
      <c r="E604" s="4">
        <v>63529</v>
      </c>
      <c r="F604" s="5">
        <v>-55.24</v>
      </c>
      <c r="H604"/>
      <c r="J604" s="6">
        <v>63529</v>
      </c>
      <c r="K604" s="12">
        <v>-54.357002297691963</v>
      </c>
      <c r="M604">
        <f t="shared" si="18"/>
        <v>0</v>
      </c>
      <c r="N604" s="13">
        <f t="shared" si="19"/>
        <v>0.98</v>
      </c>
      <c r="P604" s="14" t="s">
        <v>117</v>
      </c>
    </row>
    <row r="605" spans="1:16" x14ac:dyDescent="0.25">
      <c r="A605" s="1" t="s">
        <v>772</v>
      </c>
      <c r="B605" s="1" t="s">
        <v>80</v>
      </c>
      <c r="C605" t="s">
        <v>81</v>
      </c>
      <c r="E605" s="4">
        <v>52968</v>
      </c>
      <c r="F605" s="5">
        <v>-265.45999999999998</v>
      </c>
      <c r="H605"/>
      <c r="J605" s="6">
        <v>52968</v>
      </c>
      <c r="K605" s="12">
        <v>-267.43907248593621</v>
      </c>
      <c r="M605">
        <f t="shared" si="18"/>
        <v>0</v>
      </c>
      <c r="N605" s="13">
        <f t="shared" si="19"/>
        <v>1.01</v>
      </c>
      <c r="P605" s="14" t="s">
        <v>117</v>
      </c>
    </row>
    <row r="606" spans="1:16" x14ac:dyDescent="0.25">
      <c r="A606" s="1" t="s">
        <v>773</v>
      </c>
      <c r="B606" s="1" t="s">
        <v>80</v>
      </c>
      <c r="C606" t="s">
        <v>81</v>
      </c>
      <c r="E606" s="4">
        <v>52502</v>
      </c>
      <c r="F606" s="5">
        <v>-128.75</v>
      </c>
      <c r="H606"/>
      <c r="J606" s="6">
        <v>52502</v>
      </c>
      <c r="K606" s="12">
        <v>-131.6018898475601</v>
      </c>
      <c r="M606">
        <f t="shared" si="18"/>
        <v>0</v>
      </c>
      <c r="N606" s="13">
        <f t="shared" si="19"/>
        <v>1.02</v>
      </c>
      <c r="P606" s="14" t="s">
        <v>117</v>
      </c>
    </row>
    <row r="607" spans="1:16" x14ac:dyDescent="0.25">
      <c r="A607" s="1" t="s">
        <v>774</v>
      </c>
      <c r="B607" s="1" t="s">
        <v>80</v>
      </c>
      <c r="C607" t="s">
        <v>81</v>
      </c>
      <c r="E607" s="4">
        <v>51131</v>
      </c>
      <c r="F607" s="5">
        <v>-694.34</v>
      </c>
      <c r="H607"/>
      <c r="J607" s="6">
        <v>46748</v>
      </c>
      <c r="K607" s="12">
        <v>25835.133301560982</v>
      </c>
      <c r="M607">
        <f t="shared" si="18"/>
        <v>4383</v>
      </c>
      <c r="N607" s="13">
        <f t="shared" si="19"/>
        <v>-37.21</v>
      </c>
      <c r="P607" s="14" t="s">
        <v>117</v>
      </c>
    </row>
    <row r="608" spans="1:16" x14ac:dyDescent="0.25">
      <c r="A608" s="1" t="s">
        <v>775</v>
      </c>
      <c r="B608" s="1" t="s">
        <v>80</v>
      </c>
      <c r="C608" t="s">
        <v>81</v>
      </c>
      <c r="E608" s="4">
        <v>55727</v>
      </c>
      <c r="F608" s="5">
        <v>-169.57</v>
      </c>
      <c r="G608" s="10" t="s">
        <v>776</v>
      </c>
      <c r="H608"/>
      <c r="J608" s="6">
        <v>55942</v>
      </c>
      <c r="K608" s="12">
        <v>-83.084873564438567</v>
      </c>
      <c r="M608">
        <f t="shared" si="18"/>
        <v>-215</v>
      </c>
      <c r="N608" s="13">
        <f t="shared" si="19"/>
        <v>0.49</v>
      </c>
      <c r="P608" s="14" t="s">
        <v>117</v>
      </c>
    </row>
    <row r="609" spans="1:16" x14ac:dyDescent="0.25">
      <c r="A609" s="1" t="s">
        <v>777</v>
      </c>
      <c r="B609" s="1" t="s">
        <v>80</v>
      </c>
      <c r="C609" t="s">
        <v>81</v>
      </c>
      <c r="E609" s="4">
        <v>60415</v>
      </c>
      <c r="F609" s="5">
        <v>-196.12</v>
      </c>
      <c r="G609" s="10" t="s">
        <v>73</v>
      </c>
      <c r="H609"/>
      <c r="J609" s="6">
        <v>60415</v>
      </c>
      <c r="K609" s="12">
        <v>-206.5101507991258</v>
      </c>
      <c r="M609">
        <f t="shared" si="18"/>
        <v>0</v>
      </c>
      <c r="N609" s="13">
        <f t="shared" si="19"/>
        <v>1.05</v>
      </c>
      <c r="P609" s="14" t="s">
        <v>117</v>
      </c>
    </row>
    <row r="610" spans="1:16" x14ac:dyDescent="0.25">
      <c r="A610" s="1" t="s">
        <v>778</v>
      </c>
      <c r="B610" s="1" t="s">
        <v>80</v>
      </c>
      <c r="C610" t="s">
        <v>81</v>
      </c>
      <c r="E610" s="4">
        <v>49439</v>
      </c>
      <c r="F610" s="5">
        <v>-111.29</v>
      </c>
      <c r="H610"/>
      <c r="J610" s="6">
        <v>46244</v>
      </c>
      <c r="K610" s="12">
        <v>15647.0086422689</v>
      </c>
      <c r="M610">
        <f t="shared" si="18"/>
        <v>3195</v>
      </c>
      <c r="N610" s="13">
        <f t="shared" si="19"/>
        <v>-140.6</v>
      </c>
      <c r="P610" s="14" t="s">
        <v>217</v>
      </c>
    </row>
    <row r="611" spans="1:16" x14ac:dyDescent="0.25">
      <c r="A611" s="1" t="s">
        <v>779</v>
      </c>
      <c r="B611" s="1" t="s">
        <v>80</v>
      </c>
      <c r="C611" t="s">
        <v>81</v>
      </c>
      <c r="E611" s="4">
        <v>65943</v>
      </c>
      <c r="F611" s="5">
        <v>-17.34</v>
      </c>
      <c r="H611"/>
      <c r="J611" s="6">
        <v>65943</v>
      </c>
      <c r="K611" s="12">
        <v>-18.12852480749876</v>
      </c>
      <c r="M611">
        <f t="shared" si="18"/>
        <v>0</v>
      </c>
      <c r="N611" s="13">
        <f t="shared" si="19"/>
        <v>1.05</v>
      </c>
      <c r="P611" s="14" t="s">
        <v>117</v>
      </c>
    </row>
    <row r="612" spans="1:16" x14ac:dyDescent="0.25">
      <c r="A612" s="1" t="s">
        <v>780</v>
      </c>
      <c r="B612" s="1" t="s">
        <v>80</v>
      </c>
      <c r="C612" t="s">
        <v>81</v>
      </c>
      <c r="E612" s="4">
        <v>50060</v>
      </c>
      <c r="F612" s="5">
        <v>-26.74</v>
      </c>
      <c r="H612"/>
      <c r="J612" s="6">
        <v>50060</v>
      </c>
      <c r="K612" s="12">
        <v>-27.971199139538271</v>
      </c>
      <c r="M612">
        <f t="shared" si="18"/>
        <v>0</v>
      </c>
      <c r="N612" s="13">
        <f t="shared" si="19"/>
        <v>1.05</v>
      </c>
      <c r="P612" s="14" t="s">
        <v>117</v>
      </c>
    </row>
    <row r="613" spans="1:16" x14ac:dyDescent="0.25">
      <c r="A613" s="1" t="s">
        <v>781</v>
      </c>
      <c r="B613" s="1" t="s">
        <v>80</v>
      </c>
      <c r="C613" t="s">
        <v>81</v>
      </c>
      <c r="E613" s="4">
        <v>52762</v>
      </c>
      <c r="F613" s="5">
        <v>-10.96</v>
      </c>
      <c r="H613"/>
      <c r="J613" s="6">
        <v>52762</v>
      </c>
      <c r="K613" s="12">
        <v>-12.353935447852679</v>
      </c>
      <c r="M613">
        <f t="shared" si="18"/>
        <v>0</v>
      </c>
      <c r="N613" s="13">
        <f t="shared" si="19"/>
        <v>1.1299999999999999</v>
      </c>
      <c r="P613" s="14" t="s">
        <v>117</v>
      </c>
    </row>
    <row r="614" spans="1:16" x14ac:dyDescent="0.25">
      <c r="A614" s="1" t="s">
        <v>782</v>
      </c>
      <c r="B614" s="1" t="s">
        <v>80</v>
      </c>
      <c r="C614" t="s">
        <v>81</v>
      </c>
      <c r="E614" s="4">
        <v>58197</v>
      </c>
      <c r="F614" s="5">
        <v>-130.04</v>
      </c>
      <c r="H614"/>
      <c r="J614" s="6">
        <v>58197</v>
      </c>
      <c r="K614" s="12">
        <v>-130.24527285665991</v>
      </c>
      <c r="M614">
        <f t="shared" si="18"/>
        <v>0</v>
      </c>
      <c r="N614" s="13">
        <f t="shared" si="19"/>
        <v>1</v>
      </c>
      <c r="P614" s="14" t="s">
        <v>117</v>
      </c>
    </row>
    <row r="615" spans="1:16" x14ac:dyDescent="0.25">
      <c r="A615" s="1" t="s">
        <v>783</v>
      </c>
      <c r="B615" s="1" t="s">
        <v>80</v>
      </c>
      <c r="C615" t="s">
        <v>81</v>
      </c>
      <c r="E615" s="4">
        <v>59780</v>
      </c>
      <c r="F615" s="5">
        <v>-2.89</v>
      </c>
      <c r="H615"/>
      <c r="J615" s="6">
        <v>59780</v>
      </c>
      <c r="K615" s="12">
        <v>-3.8313883400303719</v>
      </c>
      <c r="M615">
        <f t="shared" si="18"/>
        <v>0</v>
      </c>
      <c r="N615" s="13">
        <f t="shared" si="19"/>
        <v>1.33</v>
      </c>
      <c r="P615" s="14" t="s">
        <v>117</v>
      </c>
    </row>
    <row r="616" spans="1:16" x14ac:dyDescent="0.25">
      <c r="A616" s="1" t="s">
        <v>89</v>
      </c>
      <c r="B616" s="1" t="s">
        <v>80</v>
      </c>
      <c r="C616" t="s">
        <v>81</v>
      </c>
      <c r="E616" s="4">
        <v>69356</v>
      </c>
      <c r="F616" s="5">
        <v>57409.45</v>
      </c>
      <c r="H616"/>
      <c r="J616" s="6">
        <v>69356</v>
      </c>
      <c r="K616" s="12">
        <v>57350.072384599007</v>
      </c>
      <c r="M616">
        <f t="shared" si="18"/>
        <v>0</v>
      </c>
      <c r="N616" s="13">
        <f t="shared" si="19"/>
        <v>1</v>
      </c>
      <c r="P616" s="14" t="s">
        <v>117</v>
      </c>
    </row>
    <row r="617" spans="1:16" x14ac:dyDescent="0.25">
      <c r="A617" s="1" t="s">
        <v>90</v>
      </c>
      <c r="B617" s="1" t="s">
        <v>80</v>
      </c>
      <c r="C617" t="s">
        <v>81</v>
      </c>
      <c r="E617" s="4">
        <v>69009</v>
      </c>
      <c r="F617" s="5">
        <v>120512.3</v>
      </c>
      <c r="H617"/>
      <c r="J617" s="6">
        <v>69009</v>
      </c>
      <c r="K617" s="12">
        <v>120107.6404571117</v>
      </c>
      <c r="M617">
        <f t="shared" si="18"/>
        <v>0</v>
      </c>
      <c r="N617" s="13">
        <f t="shared" si="19"/>
        <v>1</v>
      </c>
      <c r="P617" s="14" t="s">
        <v>117</v>
      </c>
    </row>
    <row r="618" spans="1:16" x14ac:dyDescent="0.25">
      <c r="A618" s="1" t="s">
        <v>784</v>
      </c>
      <c r="B618" s="1" t="s">
        <v>80</v>
      </c>
      <c r="C618" t="s">
        <v>81</v>
      </c>
      <c r="E618" s="4">
        <v>55886</v>
      </c>
      <c r="F618" s="5">
        <v>-160.27000000000001</v>
      </c>
      <c r="H618"/>
      <c r="J618" s="6">
        <v>55886</v>
      </c>
      <c r="K618" s="12">
        <v>-165.91769655806269</v>
      </c>
      <c r="M618">
        <f t="shared" si="18"/>
        <v>0</v>
      </c>
      <c r="N618" s="13">
        <f t="shared" si="19"/>
        <v>1.04</v>
      </c>
      <c r="P618" s="14" t="s">
        <v>117</v>
      </c>
    </row>
    <row r="619" spans="1:16" x14ac:dyDescent="0.25">
      <c r="A619" s="1" t="s">
        <v>785</v>
      </c>
      <c r="B619" s="1" t="s">
        <v>80</v>
      </c>
      <c r="C619" t="s">
        <v>81</v>
      </c>
      <c r="E619" s="4">
        <v>54767</v>
      </c>
      <c r="F619" s="5">
        <v>-159.82</v>
      </c>
      <c r="H619"/>
      <c r="J619" s="6">
        <v>48832</v>
      </c>
      <c r="K619" s="12">
        <v>11342.221246118719</v>
      </c>
      <c r="M619">
        <f t="shared" si="18"/>
        <v>5935</v>
      </c>
      <c r="N619" s="13">
        <f t="shared" si="19"/>
        <v>-70.97</v>
      </c>
      <c r="P619" s="14" t="s">
        <v>117</v>
      </c>
    </row>
    <row r="620" spans="1:16" x14ac:dyDescent="0.25">
      <c r="A620" s="1" t="s">
        <v>786</v>
      </c>
      <c r="B620" s="1" t="s">
        <v>80</v>
      </c>
      <c r="C620" t="s">
        <v>81</v>
      </c>
      <c r="E620" s="4">
        <v>52514</v>
      </c>
      <c r="F620" s="5">
        <v>-104.77</v>
      </c>
      <c r="G620" s="10" t="s">
        <v>82</v>
      </c>
      <c r="H620"/>
      <c r="J620" s="6">
        <v>47889</v>
      </c>
      <c r="K620" s="12">
        <v>6253.7260640061531</v>
      </c>
      <c r="M620">
        <f t="shared" si="18"/>
        <v>4625</v>
      </c>
      <c r="N620" s="13">
        <f t="shared" si="19"/>
        <v>-59.69</v>
      </c>
      <c r="P620" s="14" t="s">
        <v>217</v>
      </c>
    </row>
    <row r="621" spans="1:16" x14ac:dyDescent="0.25">
      <c r="A621" s="1" t="s">
        <v>787</v>
      </c>
      <c r="B621" s="1" t="s">
        <v>80</v>
      </c>
      <c r="C621" t="s">
        <v>81</v>
      </c>
      <c r="E621" s="4">
        <v>55481</v>
      </c>
      <c r="F621" s="5">
        <v>-243.68</v>
      </c>
      <c r="H621"/>
      <c r="J621" s="6">
        <v>55481</v>
      </c>
      <c r="K621" s="12">
        <v>-246.5426870467121</v>
      </c>
      <c r="M621">
        <f t="shared" si="18"/>
        <v>0</v>
      </c>
      <c r="N621" s="13">
        <f t="shared" si="19"/>
        <v>1.01</v>
      </c>
      <c r="P621" s="14" t="s">
        <v>117</v>
      </c>
    </row>
    <row r="622" spans="1:16" x14ac:dyDescent="0.25">
      <c r="A622" s="1" t="s">
        <v>788</v>
      </c>
      <c r="B622" s="1" t="s">
        <v>789</v>
      </c>
      <c r="C622">
        <v>55796</v>
      </c>
      <c r="E622" s="4">
        <v>52029</v>
      </c>
      <c r="F622" s="5">
        <v>-17.48</v>
      </c>
      <c r="H622"/>
      <c r="J622" s="6">
        <v>52029</v>
      </c>
      <c r="K622" s="12">
        <v>-19.661461066421172</v>
      </c>
      <c r="M622">
        <f t="shared" si="18"/>
        <v>0</v>
      </c>
      <c r="N622" s="13">
        <f t="shared" si="19"/>
        <v>1.1200000000000001</v>
      </c>
      <c r="P622" s="14" t="s">
        <v>117</v>
      </c>
    </row>
    <row r="623" spans="1:16" x14ac:dyDescent="0.25">
      <c r="A623" s="1" t="s">
        <v>790</v>
      </c>
      <c r="B623" s="1" t="s">
        <v>789</v>
      </c>
      <c r="C623">
        <v>55796</v>
      </c>
      <c r="E623" s="4">
        <v>53131</v>
      </c>
      <c r="F623" s="5">
        <v>-62.15</v>
      </c>
      <c r="H623"/>
      <c r="J623" s="6">
        <v>53131</v>
      </c>
      <c r="K623" s="12">
        <v>-73.39282047204199</v>
      </c>
      <c r="M623">
        <f t="shared" si="18"/>
        <v>0</v>
      </c>
      <c r="N623" s="13">
        <f t="shared" si="19"/>
        <v>1.18</v>
      </c>
      <c r="P623" s="14" t="s">
        <v>117</v>
      </c>
    </row>
    <row r="624" spans="1:16" x14ac:dyDescent="0.25">
      <c r="A624" s="1" t="s">
        <v>791</v>
      </c>
      <c r="B624" s="1" t="s">
        <v>789</v>
      </c>
      <c r="C624">
        <v>55796</v>
      </c>
      <c r="E624" s="4">
        <v>47279</v>
      </c>
      <c r="F624" s="5">
        <v>-15.21</v>
      </c>
      <c r="H624"/>
      <c r="J624" s="6">
        <v>47279</v>
      </c>
      <c r="K624" s="12">
        <v>-15.27480911598002</v>
      </c>
      <c r="M624">
        <f t="shared" si="18"/>
        <v>0</v>
      </c>
      <c r="N624" s="13">
        <f t="shared" si="19"/>
        <v>1</v>
      </c>
      <c r="P624" s="14" t="s">
        <v>117</v>
      </c>
    </row>
    <row r="625" spans="1:17" x14ac:dyDescent="0.25">
      <c r="A625" s="1" t="s">
        <v>792</v>
      </c>
      <c r="B625" s="1" t="s">
        <v>789</v>
      </c>
      <c r="C625">
        <v>55796</v>
      </c>
      <c r="E625" s="4">
        <v>46990</v>
      </c>
      <c r="F625" s="5">
        <v>-227.59</v>
      </c>
      <c r="H625"/>
      <c r="J625" s="6">
        <v>46990</v>
      </c>
      <c r="K625" s="12">
        <v>-227.7873269737587</v>
      </c>
      <c r="M625">
        <f t="shared" si="18"/>
        <v>0</v>
      </c>
      <c r="N625" s="13">
        <f t="shared" si="19"/>
        <v>1</v>
      </c>
      <c r="P625" s="14" t="s">
        <v>117</v>
      </c>
    </row>
    <row r="626" spans="1:17" x14ac:dyDescent="0.25">
      <c r="A626" s="1" t="s">
        <v>793</v>
      </c>
      <c r="B626" s="1" t="s">
        <v>789</v>
      </c>
      <c r="C626">
        <v>55796</v>
      </c>
      <c r="E626" s="4">
        <v>46327</v>
      </c>
      <c r="F626" s="5">
        <v>-34.36</v>
      </c>
      <c r="H626"/>
      <c r="J626" s="6">
        <v>46327</v>
      </c>
      <c r="K626" s="12">
        <v>-34.35543727785975</v>
      </c>
      <c r="M626">
        <f t="shared" si="18"/>
        <v>0</v>
      </c>
      <c r="N626" s="13">
        <f t="shared" si="19"/>
        <v>1</v>
      </c>
      <c r="P626" s="14" t="s">
        <v>117</v>
      </c>
    </row>
    <row r="627" spans="1:17" x14ac:dyDescent="0.25">
      <c r="A627" s="1" t="s">
        <v>794</v>
      </c>
      <c r="B627" s="1" t="s">
        <v>795</v>
      </c>
      <c r="C627">
        <v>55952</v>
      </c>
      <c r="E627" s="4">
        <v>49266</v>
      </c>
      <c r="F627" s="5">
        <v>-399.74</v>
      </c>
      <c r="H627"/>
      <c r="J627" s="6">
        <v>49266</v>
      </c>
      <c r="K627" s="12">
        <v>-403.82578565686481</v>
      </c>
      <c r="M627">
        <f t="shared" si="18"/>
        <v>0</v>
      </c>
      <c r="N627" s="13">
        <f t="shared" si="19"/>
        <v>1.01</v>
      </c>
      <c r="P627" s="14" t="s">
        <v>117</v>
      </c>
    </row>
    <row r="628" spans="1:17" x14ac:dyDescent="0.25">
      <c r="A628" s="1" t="s">
        <v>796</v>
      </c>
      <c r="B628" s="1" t="s">
        <v>797</v>
      </c>
      <c r="C628">
        <v>55796</v>
      </c>
      <c r="E628" s="4">
        <v>49484</v>
      </c>
      <c r="F628" s="5">
        <v>-181.28</v>
      </c>
      <c r="H628"/>
      <c r="J628" s="6">
        <v>49484</v>
      </c>
      <c r="K628" s="12">
        <v>-182.3791002522907</v>
      </c>
      <c r="M628">
        <f t="shared" si="18"/>
        <v>0</v>
      </c>
      <c r="N628" s="13">
        <f t="shared" si="19"/>
        <v>1.01</v>
      </c>
      <c r="P628" s="14" t="s">
        <v>117</v>
      </c>
    </row>
    <row r="629" spans="1:17" x14ac:dyDescent="0.25">
      <c r="A629" s="1" t="s">
        <v>798</v>
      </c>
      <c r="B629" s="1" t="s">
        <v>797</v>
      </c>
      <c r="C629">
        <v>55796</v>
      </c>
      <c r="E629" s="4">
        <v>47824</v>
      </c>
      <c r="F629" s="5">
        <v>-645.86</v>
      </c>
      <c r="G629" s="10" t="s">
        <v>799</v>
      </c>
      <c r="H629"/>
      <c r="J629" s="6">
        <v>47824</v>
      </c>
      <c r="K629" s="12">
        <v>-646.70331802933151</v>
      </c>
      <c r="M629">
        <f t="shared" si="18"/>
        <v>0</v>
      </c>
      <c r="N629" s="13">
        <f t="shared" si="19"/>
        <v>1</v>
      </c>
      <c r="P629" s="14" t="s">
        <v>117</v>
      </c>
    </row>
    <row r="630" spans="1:17" x14ac:dyDescent="0.25">
      <c r="A630" s="1" t="s">
        <v>800</v>
      </c>
      <c r="B630" s="1" t="s">
        <v>795</v>
      </c>
      <c r="C630">
        <v>55952</v>
      </c>
      <c r="E630" s="4">
        <v>52008</v>
      </c>
      <c r="F630" s="5">
        <v>-805.43</v>
      </c>
      <c r="H630"/>
      <c r="J630" s="6">
        <v>52008</v>
      </c>
      <c r="K630" s="12">
        <v>-825.39837577513322</v>
      </c>
      <c r="M630">
        <f t="shared" si="18"/>
        <v>0</v>
      </c>
      <c r="N630" s="13">
        <f t="shared" si="19"/>
        <v>1.02</v>
      </c>
      <c r="P630" s="14" t="s">
        <v>117</v>
      </c>
    </row>
    <row r="631" spans="1:17" x14ac:dyDescent="0.25">
      <c r="A631" s="1" t="s">
        <v>801</v>
      </c>
      <c r="B631" s="1" t="s">
        <v>797</v>
      </c>
      <c r="C631">
        <v>55796</v>
      </c>
      <c r="E631" s="4">
        <v>46478</v>
      </c>
      <c r="F631" s="5">
        <v>-159.91</v>
      </c>
      <c r="G631" s="10" t="s">
        <v>799</v>
      </c>
      <c r="H631"/>
      <c r="J631" s="6">
        <v>46478</v>
      </c>
      <c r="K631" s="12">
        <v>-159.99650036563671</v>
      </c>
      <c r="M631">
        <f t="shared" si="18"/>
        <v>0</v>
      </c>
      <c r="N631" s="13">
        <f t="shared" si="19"/>
        <v>1</v>
      </c>
      <c r="P631" s="14" t="s">
        <v>117</v>
      </c>
    </row>
    <row r="632" spans="1:17" x14ac:dyDescent="0.25">
      <c r="A632" s="1" t="s">
        <v>802</v>
      </c>
      <c r="B632" s="1" t="s">
        <v>797</v>
      </c>
      <c r="C632">
        <v>55796</v>
      </c>
      <c r="E632" s="4">
        <v>48170</v>
      </c>
      <c r="F632" s="5">
        <v>-24.46</v>
      </c>
      <c r="G632" s="10" t="s">
        <v>799</v>
      </c>
      <c r="H632"/>
      <c r="J632" s="6">
        <v>48170</v>
      </c>
      <c r="K632" s="12">
        <v>-25.772568002519169</v>
      </c>
      <c r="M632">
        <f t="shared" si="18"/>
        <v>0</v>
      </c>
      <c r="N632" s="13">
        <f t="shared" si="19"/>
        <v>1.05</v>
      </c>
      <c r="P632" s="14" t="s">
        <v>117</v>
      </c>
    </row>
    <row r="633" spans="1:17" x14ac:dyDescent="0.25">
      <c r="A633" s="1" t="s">
        <v>803</v>
      </c>
      <c r="B633" s="1" t="s">
        <v>795</v>
      </c>
      <c r="C633">
        <v>55952</v>
      </c>
      <c r="E633" s="4">
        <v>46595</v>
      </c>
      <c r="F633" s="5">
        <v>-86.39</v>
      </c>
      <c r="H633"/>
      <c r="J633" s="6">
        <v>46595</v>
      </c>
      <c r="K633" s="12">
        <v>-86.615210036243894</v>
      </c>
      <c r="M633">
        <f t="shared" si="18"/>
        <v>0</v>
      </c>
      <c r="N633" s="13">
        <f t="shared" si="19"/>
        <v>1</v>
      </c>
      <c r="P633" s="14" t="s">
        <v>117</v>
      </c>
    </row>
    <row r="634" spans="1:17" x14ac:dyDescent="0.25">
      <c r="A634" s="1" t="s">
        <v>804</v>
      </c>
      <c r="B634" s="1" t="s">
        <v>805</v>
      </c>
      <c r="C634">
        <v>56070</v>
      </c>
      <c r="E634" s="4">
        <v>59865</v>
      </c>
      <c r="F634" s="5">
        <v>-22.47</v>
      </c>
      <c r="H634"/>
      <c r="J634" s="6">
        <v>59865</v>
      </c>
      <c r="K634" s="12">
        <v>-24.75419124236743</v>
      </c>
      <c r="M634">
        <f t="shared" si="18"/>
        <v>0</v>
      </c>
      <c r="N634" s="13">
        <f t="shared" si="19"/>
        <v>1.1000000000000001</v>
      </c>
      <c r="P634" s="14" t="s">
        <v>117</v>
      </c>
    </row>
    <row r="635" spans="1:17" x14ac:dyDescent="0.25">
      <c r="A635" s="1" t="s">
        <v>806</v>
      </c>
      <c r="B635" s="1" t="s">
        <v>805</v>
      </c>
      <c r="C635">
        <v>56070</v>
      </c>
      <c r="E635" s="4">
        <v>58678</v>
      </c>
      <c r="F635" s="5">
        <v>1436.31</v>
      </c>
      <c r="G635" s="10" t="s">
        <v>807</v>
      </c>
      <c r="H635"/>
      <c r="J635" s="6" t="e">
        <v>#N/A</v>
      </c>
      <c r="K635" s="12" t="e">
        <v>#N/A</v>
      </c>
      <c r="M635" t="e">
        <f t="shared" si="18"/>
        <v>#N/A</v>
      </c>
      <c r="N635" s="13" t="e">
        <f t="shared" si="19"/>
        <v>#N/A</v>
      </c>
      <c r="P635" s="14" t="s">
        <v>161</v>
      </c>
      <c r="Q635" t="s">
        <v>808</v>
      </c>
    </row>
    <row r="636" spans="1:17" x14ac:dyDescent="0.25">
      <c r="A636" s="1" t="s">
        <v>809</v>
      </c>
      <c r="B636" s="1" t="s">
        <v>810</v>
      </c>
      <c r="C636" t="s">
        <v>811</v>
      </c>
      <c r="E636" s="4">
        <v>50814</v>
      </c>
      <c r="F636" s="5">
        <v>-17.73</v>
      </c>
      <c r="H636"/>
      <c r="J636" s="6">
        <v>50814</v>
      </c>
      <c r="K636" s="12">
        <v>-18.28986713990577</v>
      </c>
      <c r="M636">
        <f t="shared" si="18"/>
        <v>0</v>
      </c>
      <c r="N636" s="13">
        <f t="shared" si="19"/>
        <v>1.03</v>
      </c>
      <c r="P636" s="14" t="s">
        <v>117</v>
      </c>
    </row>
    <row r="637" spans="1:17" x14ac:dyDescent="0.25">
      <c r="A637" s="1" t="s">
        <v>812</v>
      </c>
      <c r="B637" s="1" t="s">
        <v>810</v>
      </c>
      <c r="C637" t="s">
        <v>811</v>
      </c>
      <c r="E637" s="4">
        <v>50661</v>
      </c>
      <c r="F637" s="5">
        <v>-84.46</v>
      </c>
      <c r="H637"/>
      <c r="J637" s="6">
        <v>50661</v>
      </c>
      <c r="K637" s="12">
        <v>-85.251061871918921</v>
      </c>
      <c r="M637">
        <f t="shared" si="18"/>
        <v>0</v>
      </c>
      <c r="N637" s="13">
        <f t="shared" si="19"/>
        <v>1.01</v>
      </c>
      <c r="P637" s="14" t="s">
        <v>117</v>
      </c>
    </row>
    <row r="638" spans="1:17" x14ac:dyDescent="0.25">
      <c r="A638" s="1" t="s">
        <v>4</v>
      </c>
      <c r="B638" s="1" t="s">
        <v>5</v>
      </c>
      <c r="C638" t="s">
        <v>6</v>
      </c>
      <c r="E638" s="4">
        <v>60460</v>
      </c>
      <c r="F638" s="5">
        <v>543888.38</v>
      </c>
      <c r="H638"/>
      <c r="J638" s="6">
        <v>60460</v>
      </c>
      <c r="K638" s="12">
        <v>538935.83357812034</v>
      </c>
      <c r="M638">
        <f t="shared" si="18"/>
        <v>0</v>
      </c>
      <c r="N638" s="13">
        <f t="shared" si="19"/>
        <v>0.99</v>
      </c>
      <c r="P638" s="14" t="s">
        <v>117</v>
      </c>
    </row>
    <row r="639" spans="1:17" x14ac:dyDescent="0.25">
      <c r="A639" s="1" t="s">
        <v>7</v>
      </c>
      <c r="B639" s="1" t="s">
        <v>5</v>
      </c>
      <c r="C639" t="s">
        <v>6</v>
      </c>
      <c r="E639" s="4">
        <v>62474</v>
      </c>
      <c r="F639" s="5">
        <v>674261.18</v>
      </c>
      <c r="H639"/>
      <c r="J639" s="6">
        <v>62474</v>
      </c>
      <c r="K639" s="12">
        <v>669300.91194468318</v>
      </c>
      <c r="M639">
        <f t="shared" si="18"/>
        <v>0</v>
      </c>
      <c r="N639" s="13">
        <f t="shared" si="19"/>
        <v>0.99</v>
      </c>
      <c r="P639" s="14" t="s">
        <v>117</v>
      </c>
    </row>
    <row r="640" spans="1:17" x14ac:dyDescent="0.25">
      <c r="A640" s="1" t="s">
        <v>8</v>
      </c>
      <c r="B640" s="1" t="s">
        <v>5</v>
      </c>
      <c r="C640" t="s">
        <v>6</v>
      </c>
      <c r="E640" s="4">
        <v>63490</v>
      </c>
      <c r="F640" s="5">
        <v>715556.01</v>
      </c>
      <c r="H640"/>
      <c r="J640" s="6">
        <v>63490</v>
      </c>
      <c r="K640" s="12">
        <v>710604.07053592522</v>
      </c>
      <c r="M640">
        <f t="shared" si="18"/>
        <v>0</v>
      </c>
      <c r="N640" s="13">
        <f t="shared" si="19"/>
        <v>0.99</v>
      </c>
      <c r="P640" s="14" t="s">
        <v>117</v>
      </c>
    </row>
    <row r="641" spans="1:16" x14ac:dyDescent="0.25">
      <c r="A641" s="1" t="s">
        <v>9</v>
      </c>
      <c r="B641" s="1" t="s">
        <v>10</v>
      </c>
      <c r="C641" t="s">
        <v>6</v>
      </c>
      <c r="E641" s="4">
        <v>53258</v>
      </c>
      <c r="F641" s="5">
        <v>166488.54</v>
      </c>
      <c r="H641"/>
      <c r="J641" s="6">
        <v>53258</v>
      </c>
      <c r="K641" s="12">
        <v>161483.39846062849</v>
      </c>
      <c r="M641">
        <f t="shared" si="18"/>
        <v>0</v>
      </c>
      <c r="N641" s="13">
        <f t="shared" si="19"/>
        <v>0.97</v>
      </c>
      <c r="P641" s="14" t="s">
        <v>170</v>
      </c>
    </row>
    <row r="642" spans="1:16" x14ac:dyDescent="0.25">
      <c r="A642" s="1" t="s">
        <v>11</v>
      </c>
      <c r="B642" s="1" t="s">
        <v>10</v>
      </c>
      <c r="C642" t="s">
        <v>6</v>
      </c>
      <c r="E642" s="4">
        <v>51840</v>
      </c>
      <c r="F642" s="5">
        <v>239871.77</v>
      </c>
      <c r="H642"/>
      <c r="J642" s="6">
        <v>51840</v>
      </c>
      <c r="K642" s="12">
        <v>232145.45101684571</v>
      </c>
      <c r="M642">
        <f t="shared" ref="M642:M677" si="20">E642-J642</f>
        <v>0</v>
      </c>
      <c r="N642" s="13">
        <f t="shared" ref="N642:N677" si="21">ROUND(K642/F642,2)</f>
        <v>0.97</v>
      </c>
      <c r="P642" s="14" t="s">
        <v>170</v>
      </c>
    </row>
    <row r="643" spans="1:16" x14ac:dyDescent="0.25">
      <c r="A643" s="1" t="s">
        <v>12</v>
      </c>
      <c r="B643" s="1" t="s">
        <v>10</v>
      </c>
      <c r="C643" t="s">
        <v>6</v>
      </c>
      <c r="E643" s="4">
        <v>50550</v>
      </c>
      <c r="F643" s="5">
        <v>95122.880000000005</v>
      </c>
      <c r="H643"/>
      <c r="J643" s="6">
        <v>50550</v>
      </c>
      <c r="K643" s="12">
        <v>90114.654938082502</v>
      </c>
      <c r="M643">
        <f t="shared" si="20"/>
        <v>0</v>
      </c>
      <c r="N643" s="13">
        <f t="shared" si="21"/>
        <v>0.95</v>
      </c>
      <c r="P643" s="14" t="s">
        <v>170</v>
      </c>
    </row>
    <row r="644" spans="1:16" x14ac:dyDescent="0.25">
      <c r="A644" s="1" t="s">
        <v>13</v>
      </c>
      <c r="B644" s="1" t="s">
        <v>14</v>
      </c>
      <c r="C644" t="s">
        <v>6</v>
      </c>
      <c r="E644" s="4">
        <v>55766</v>
      </c>
      <c r="F644" s="5">
        <v>317592.51</v>
      </c>
      <c r="H644"/>
      <c r="J644" s="6">
        <v>55766</v>
      </c>
      <c r="K644" s="12">
        <v>311633.66273532348</v>
      </c>
      <c r="M644">
        <f t="shared" si="20"/>
        <v>0</v>
      </c>
      <c r="N644" s="13">
        <f t="shared" si="21"/>
        <v>0.98</v>
      </c>
      <c r="P644" s="14" t="s">
        <v>170</v>
      </c>
    </row>
    <row r="645" spans="1:16" x14ac:dyDescent="0.25">
      <c r="A645" s="1" t="s">
        <v>15</v>
      </c>
      <c r="B645" s="1" t="s">
        <v>10</v>
      </c>
      <c r="C645" t="s">
        <v>6</v>
      </c>
      <c r="E645" s="4">
        <v>64384</v>
      </c>
      <c r="F645" s="5">
        <v>808075.24</v>
      </c>
      <c r="H645"/>
      <c r="J645" s="6">
        <v>64384</v>
      </c>
      <c r="K645" s="12">
        <v>803221.95820954954</v>
      </c>
      <c r="M645">
        <f t="shared" si="20"/>
        <v>0</v>
      </c>
      <c r="N645" s="13">
        <f t="shared" si="21"/>
        <v>0.99</v>
      </c>
      <c r="P645" s="14" t="s">
        <v>117</v>
      </c>
    </row>
    <row r="646" spans="1:16" x14ac:dyDescent="0.25">
      <c r="A646" s="1" t="s">
        <v>16</v>
      </c>
      <c r="B646" s="1" t="s">
        <v>10</v>
      </c>
      <c r="C646" t="s">
        <v>6</v>
      </c>
      <c r="E646" s="4">
        <v>66940</v>
      </c>
      <c r="F646" s="5">
        <v>1073931.1200000001</v>
      </c>
      <c r="H646"/>
      <c r="J646" s="6">
        <v>66940</v>
      </c>
      <c r="K646" s="12">
        <v>1069131.4316627621</v>
      </c>
      <c r="M646">
        <f t="shared" si="20"/>
        <v>0</v>
      </c>
      <c r="N646" s="13">
        <f t="shared" si="21"/>
        <v>1</v>
      </c>
      <c r="P646" s="14" t="s">
        <v>117</v>
      </c>
    </row>
    <row r="647" spans="1:16" x14ac:dyDescent="0.25">
      <c r="A647" s="1" t="s">
        <v>17</v>
      </c>
      <c r="B647" s="1" t="s">
        <v>10</v>
      </c>
      <c r="C647" t="s">
        <v>6</v>
      </c>
      <c r="E647" s="4">
        <v>53066</v>
      </c>
      <c r="F647" s="5">
        <v>164256.09</v>
      </c>
      <c r="H647"/>
      <c r="J647" s="6">
        <v>53066</v>
      </c>
      <c r="K647" s="12">
        <v>159272.82718491519</v>
      </c>
      <c r="M647">
        <f t="shared" si="20"/>
        <v>0</v>
      </c>
      <c r="N647" s="13">
        <f t="shared" si="21"/>
        <v>0.97</v>
      </c>
      <c r="P647" s="14" t="s">
        <v>170</v>
      </c>
    </row>
    <row r="648" spans="1:16" x14ac:dyDescent="0.25">
      <c r="A648" s="1" t="s">
        <v>18</v>
      </c>
      <c r="B648" s="1" t="s">
        <v>10</v>
      </c>
      <c r="C648" t="s">
        <v>6</v>
      </c>
      <c r="E648" s="4">
        <v>56741</v>
      </c>
      <c r="F648" s="5">
        <v>425148.34</v>
      </c>
      <c r="H648"/>
      <c r="J648" s="6">
        <v>56741</v>
      </c>
      <c r="K648" s="12">
        <v>418166.78576145222</v>
      </c>
      <c r="M648">
        <f t="shared" si="20"/>
        <v>0</v>
      </c>
      <c r="N648" s="13">
        <f t="shared" si="21"/>
        <v>0.98</v>
      </c>
      <c r="P648" s="14" t="s">
        <v>170</v>
      </c>
    </row>
    <row r="649" spans="1:16" x14ac:dyDescent="0.25">
      <c r="A649" s="1" t="s">
        <v>19</v>
      </c>
      <c r="B649" s="1" t="s">
        <v>5</v>
      </c>
      <c r="C649" t="s">
        <v>6</v>
      </c>
      <c r="E649" s="4">
        <v>56011</v>
      </c>
      <c r="F649" s="5">
        <v>532223.89</v>
      </c>
      <c r="H649"/>
      <c r="J649" s="6">
        <v>56011</v>
      </c>
      <c r="K649" s="12">
        <v>521760.51130421949</v>
      </c>
      <c r="M649">
        <f t="shared" si="20"/>
        <v>0</v>
      </c>
      <c r="N649" s="13">
        <f t="shared" si="21"/>
        <v>0.98</v>
      </c>
      <c r="P649" s="14" t="s">
        <v>170</v>
      </c>
    </row>
    <row r="650" spans="1:16" x14ac:dyDescent="0.25">
      <c r="A650" s="1" t="s">
        <v>813</v>
      </c>
      <c r="B650" s="1" t="s">
        <v>10</v>
      </c>
      <c r="C650" t="s">
        <v>6</v>
      </c>
      <c r="E650" s="4">
        <v>46491</v>
      </c>
      <c r="F650" s="5">
        <v>27474.52</v>
      </c>
      <c r="H650"/>
      <c r="J650" s="6">
        <v>46491</v>
      </c>
      <c r="K650" s="12">
        <v>27547.233286335089</v>
      </c>
      <c r="M650">
        <f t="shared" si="20"/>
        <v>0</v>
      </c>
      <c r="N650" s="13">
        <f t="shared" si="21"/>
        <v>1</v>
      </c>
      <c r="P650" s="14" t="s">
        <v>117</v>
      </c>
    </row>
    <row r="651" spans="1:16" x14ac:dyDescent="0.25">
      <c r="A651" s="1" t="s">
        <v>814</v>
      </c>
      <c r="B651" s="1" t="s">
        <v>10</v>
      </c>
      <c r="C651" t="s">
        <v>6</v>
      </c>
      <c r="E651" s="4">
        <v>46492</v>
      </c>
      <c r="F651" s="5">
        <v>27482.55</v>
      </c>
      <c r="H651"/>
      <c r="J651" s="6">
        <v>46492</v>
      </c>
      <c r="K651" s="12">
        <v>27555.03417199296</v>
      </c>
      <c r="M651">
        <f t="shared" si="20"/>
        <v>0</v>
      </c>
      <c r="N651" s="13">
        <f t="shared" si="21"/>
        <v>1</v>
      </c>
      <c r="P651" s="14" t="s">
        <v>117</v>
      </c>
    </row>
    <row r="652" spans="1:16" x14ac:dyDescent="0.25">
      <c r="A652" s="1" t="s">
        <v>20</v>
      </c>
      <c r="B652" s="1" t="s">
        <v>5</v>
      </c>
      <c r="C652" t="s">
        <v>6</v>
      </c>
      <c r="E652" s="4">
        <v>56362</v>
      </c>
      <c r="F652" s="5">
        <v>282249.09000000003</v>
      </c>
      <c r="H652"/>
      <c r="J652" s="6">
        <v>56362</v>
      </c>
      <c r="K652" s="12">
        <v>277290.51333737472</v>
      </c>
      <c r="M652">
        <f t="shared" si="20"/>
        <v>0</v>
      </c>
      <c r="N652" s="13">
        <f t="shared" si="21"/>
        <v>0.98</v>
      </c>
      <c r="P652" s="14" t="s">
        <v>170</v>
      </c>
    </row>
    <row r="653" spans="1:16" x14ac:dyDescent="0.25">
      <c r="A653" s="1" t="s">
        <v>21</v>
      </c>
      <c r="B653" s="1" t="s">
        <v>5</v>
      </c>
      <c r="C653" t="s">
        <v>6</v>
      </c>
      <c r="E653" s="4">
        <v>77944</v>
      </c>
      <c r="F653" s="5">
        <v>3343819.38</v>
      </c>
      <c r="H653"/>
      <c r="J653" s="6">
        <v>68448</v>
      </c>
      <c r="K653" s="12">
        <v>1185159.2740759151</v>
      </c>
      <c r="M653">
        <f t="shared" si="20"/>
        <v>9496</v>
      </c>
      <c r="N653" s="13">
        <f t="shared" si="21"/>
        <v>0.35</v>
      </c>
      <c r="P653" s="14" t="s">
        <v>170</v>
      </c>
    </row>
    <row r="654" spans="1:16" x14ac:dyDescent="0.25">
      <c r="A654" s="1" t="s">
        <v>22</v>
      </c>
      <c r="B654" s="1" t="s">
        <v>10</v>
      </c>
      <c r="C654" t="s">
        <v>6</v>
      </c>
      <c r="E654" s="4">
        <v>47279</v>
      </c>
      <c r="F654" s="5">
        <v>29118.51</v>
      </c>
      <c r="H654"/>
      <c r="J654" s="6">
        <v>47279</v>
      </c>
      <c r="K654" s="12">
        <v>24107.812238364852</v>
      </c>
      <c r="M654">
        <f t="shared" si="20"/>
        <v>0</v>
      </c>
      <c r="N654" s="13">
        <f t="shared" si="21"/>
        <v>0.83</v>
      </c>
      <c r="P654" s="14" t="s">
        <v>170</v>
      </c>
    </row>
    <row r="655" spans="1:16" x14ac:dyDescent="0.25">
      <c r="A655" s="1" t="s">
        <v>23</v>
      </c>
      <c r="B655" s="1" t="s">
        <v>5</v>
      </c>
      <c r="C655" t="s">
        <v>6</v>
      </c>
      <c r="E655" s="4">
        <v>65555</v>
      </c>
      <c r="F655" s="5">
        <v>908749.56</v>
      </c>
      <c r="H655"/>
      <c r="J655" s="6">
        <v>65555</v>
      </c>
      <c r="K655" s="12">
        <v>903920.07674004603</v>
      </c>
      <c r="M655">
        <f t="shared" si="20"/>
        <v>0</v>
      </c>
      <c r="N655" s="13">
        <f t="shared" si="21"/>
        <v>0.99</v>
      </c>
      <c r="P655" s="14" t="s">
        <v>117</v>
      </c>
    </row>
    <row r="656" spans="1:16" x14ac:dyDescent="0.25">
      <c r="A656" s="1" t="s">
        <v>24</v>
      </c>
      <c r="B656" s="1" t="s">
        <v>5</v>
      </c>
      <c r="C656" t="s">
        <v>6</v>
      </c>
      <c r="E656" s="4">
        <v>61200</v>
      </c>
      <c r="F656" s="5">
        <v>544495.43000000005</v>
      </c>
      <c r="H656"/>
      <c r="J656" s="6">
        <v>61200</v>
      </c>
      <c r="K656" s="12">
        <v>539535.09502737143</v>
      </c>
      <c r="M656">
        <f t="shared" si="20"/>
        <v>0</v>
      </c>
      <c r="N656" s="13">
        <f t="shared" si="21"/>
        <v>0.99</v>
      </c>
      <c r="P656" s="14" t="s">
        <v>117</v>
      </c>
    </row>
    <row r="657" spans="1:16" x14ac:dyDescent="0.25">
      <c r="A657" s="1" t="s">
        <v>25</v>
      </c>
      <c r="B657" s="1" t="s">
        <v>14</v>
      </c>
      <c r="C657" t="s">
        <v>6</v>
      </c>
      <c r="E657" s="4">
        <v>51381</v>
      </c>
      <c r="F657" s="5">
        <v>120149.35</v>
      </c>
      <c r="H657"/>
      <c r="J657" s="6">
        <v>51381</v>
      </c>
      <c r="K657" s="12">
        <v>115155.72880890621</v>
      </c>
      <c r="M657">
        <f t="shared" si="20"/>
        <v>0</v>
      </c>
      <c r="N657" s="13">
        <f t="shared" si="21"/>
        <v>0.96</v>
      </c>
      <c r="P657" s="14" t="s">
        <v>170</v>
      </c>
    </row>
    <row r="658" spans="1:16" x14ac:dyDescent="0.25">
      <c r="A658" s="1" t="s">
        <v>26</v>
      </c>
      <c r="B658" s="1" t="s">
        <v>10</v>
      </c>
      <c r="C658" t="s">
        <v>6</v>
      </c>
      <c r="E658" s="4">
        <v>46596</v>
      </c>
      <c r="F658" s="5">
        <v>21937.65</v>
      </c>
      <c r="H658"/>
      <c r="J658" s="6">
        <v>46596</v>
      </c>
      <c r="K658" s="12">
        <v>16923.07613244891</v>
      </c>
      <c r="M658">
        <f t="shared" si="20"/>
        <v>0</v>
      </c>
      <c r="N658" s="13">
        <f t="shared" si="21"/>
        <v>0.77</v>
      </c>
      <c r="P658" s="14" t="s">
        <v>170</v>
      </c>
    </row>
    <row r="659" spans="1:16" x14ac:dyDescent="0.25">
      <c r="A659" s="1" t="s">
        <v>27</v>
      </c>
      <c r="B659" s="1" t="s">
        <v>10</v>
      </c>
      <c r="C659" t="s">
        <v>6</v>
      </c>
      <c r="E659" s="4">
        <v>52455</v>
      </c>
      <c r="F659" s="5">
        <v>160030.71</v>
      </c>
      <c r="H659"/>
      <c r="J659" s="6">
        <v>52455</v>
      </c>
      <c r="K659" s="12">
        <v>154861.40935339479</v>
      </c>
      <c r="M659">
        <f t="shared" si="20"/>
        <v>0</v>
      </c>
      <c r="N659" s="13">
        <f t="shared" si="21"/>
        <v>0.97</v>
      </c>
      <c r="P659" s="14" t="s">
        <v>170</v>
      </c>
    </row>
    <row r="660" spans="1:16" x14ac:dyDescent="0.25">
      <c r="A660" s="1" t="s">
        <v>28</v>
      </c>
      <c r="B660" s="1" t="s">
        <v>5</v>
      </c>
      <c r="C660" t="s">
        <v>6</v>
      </c>
      <c r="E660" s="4">
        <v>48831</v>
      </c>
      <c r="F660" s="5">
        <v>60036.46</v>
      </c>
      <c r="H660"/>
      <c r="J660" s="6">
        <v>48831</v>
      </c>
      <c r="K660" s="12">
        <v>55031.848032343092</v>
      </c>
      <c r="M660">
        <f t="shared" si="20"/>
        <v>0</v>
      </c>
      <c r="N660" s="13">
        <f t="shared" si="21"/>
        <v>0.92</v>
      </c>
      <c r="P660" s="14" t="s">
        <v>170</v>
      </c>
    </row>
    <row r="661" spans="1:16" x14ac:dyDescent="0.25">
      <c r="A661" s="1" t="s">
        <v>29</v>
      </c>
      <c r="B661" s="1" t="s">
        <v>5</v>
      </c>
      <c r="C661" t="s">
        <v>6</v>
      </c>
      <c r="E661" s="4">
        <v>56481</v>
      </c>
      <c r="F661" s="5">
        <v>589410.27</v>
      </c>
      <c r="H661"/>
      <c r="J661" s="6">
        <v>56481</v>
      </c>
      <c r="K661" s="12">
        <v>579431.86492570792</v>
      </c>
      <c r="M661">
        <f t="shared" si="20"/>
        <v>0</v>
      </c>
      <c r="N661" s="13">
        <f t="shared" si="21"/>
        <v>0.98</v>
      </c>
      <c r="P661" s="14" t="s">
        <v>170</v>
      </c>
    </row>
    <row r="662" spans="1:16" x14ac:dyDescent="0.25">
      <c r="A662" s="1" t="s">
        <v>30</v>
      </c>
      <c r="B662" s="1" t="s">
        <v>5</v>
      </c>
      <c r="C662" t="s">
        <v>6</v>
      </c>
      <c r="E662" s="4">
        <v>48812</v>
      </c>
      <c r="F662" s="5">
        <v>71249.03</v>
      </c>
      <c r="H662"/>
      <c r="J662" s="6">
        <v>48812</v>
      </c>
      <c r="K662" s="12">
        <v>65736.974245525489</v>
      </c>
      <c r="M662">
        <f t="shared" si="20"/>
        <v>0</v>
      </c>
      <c r="N662" s="13">
        <f t="shared" si="21"/>
        <v>0.92</v>
      </c>
      <c r="P662" s="14" t="s">
        <v>170</v>
      </c>
    </row>
    <row r="663" spans="1:16" x14ac:dyDescent="0.25">
      <c r="A663" s="1" t="s">
        <v>31</v>
      </c>
      <c r="B663" s="1" t="s">
        <v>5</v>
      </c>
      <c r="C663" t="s">
        <v>6</v>
      </c>
      <c r="E663" s="4">
        <v>49191</v>
      </c>
      <c r="F663" s="5">
        <v>103341.04</v>
      </c>
      <c r="H663"/>
      <c r="J663" s="6">
        <v>49191</v>
      </c>
      <c r="K663" s="12">
        <v>96115.878899306103</v>
      </c>
      <c r="M663">
        <f t="shared" si="20"/>
        <v>0</v>
      </c>
      <c r="N663" s="13">
        <f t="shared" si="21"/>
        <v>0.93</v>
      </c>
      <c r="P663" s="14" t="s">
        <v>170</v>
      </c>
    </row>
    <row r="664" spans="1:16" x14ac:dyDescent="0.25">
      <c r="A664" s="1" t="s">
        <v>32</v>
      </c>
      <c r="B664" s="1" t="s">
        <v>5</v>
      </c>
      <c r="C664" t="s">
        <v>6</v>
      </c>
      <c r="E664" s="4">
        <v>53931</v>
      </c>
      <c r="F664" s="5">
        <v>196830.99</v>
      </c>
      <c r="H664"/>
      <c r="J664" s="6">
        <v>53931</v>
      </c>
      <c r="K664" s="12">
        <v>191832.46354443181</v>
      </c>
      <c r="M664">
        <f t="shared" si="20"/>
        <v>0</v>
      </c>
      <c r="N664" s="13">
        <f t="shared" si="21"/>
        <v>0.97</v>
      </c>
      <c r="P664" s="14" t="s">
        <v>170</v>
      </c>
    </row>
    <row r="665" spans="1:16" x14ac:dyDescent="0.25">
      <c r="A665" s="1" t="s">
        <v>33</v>
      </c>
      <c r="B665" s="1" t="s">
        <v>10</v>
      </c>
      <c r="C665" t="s">
        <v>6</v>
      </c>
      <c r="E665" s="4">
        <v>55105</v>
      </c>
      <c r="F665" s="5">
        <v>155543.29</v>
      </c>
      <c r="H665"/>
      <c r="J665" s="6">
        <v>55105</v>
      </c>
      <c r="K665" s="12">
        <v>152311.9045886003</v>
      </c>
      <c r="M665">
        <f t="shared" si="20"/>
        <v>0</v>
      </c>
      <c r="N665" s="13">
        <f t="shared" si="21"/>
        <v>0.98</v>
      </c>
      <c r="P665" s="14" t="s">
        <v>170</v>
      </c>
    </row>
    <row r="666" spans="1:16" x14ac:dyDescent="0.25">
      <c r="A666" s="1" t="s">
        <v>34</v>
      </c>
      <c r="B666" s="1" t="s">
        <v>5</v>
      </c>
      <c r="C666" t="s">
        <v>6</v>
      </c>
      <c r="E666" s="4">
        <v>58343</v>
      </c>
      <c r="F666" s="5">
        <v>379605.54</v>
      </c>
      <c r="H666"/>
      <c r="J666" s="6">
        <v>58343</v>
      </c>
      <c r="K666" s="12">
        <v>374661.25649675698</v>
      </c>
      <c r="M666">
        <f t="shared" si="20"/>
        <v>0</v>
      </c>
      <c r="N666" s="13">
        <f t="shared" si="21"/>
        <v>0.99</v>
      </c>
      <c r="P666" s="14" t="s">
        <v>117</v>
      </c>
    </row>
    <row r="667" spans="1:16" x14ac:dyDescent="0.25">
      <c r="A667" s="1" t="s">
        <v>35</v>
      </c>
      <c r="B667" s="1" t="s">
        <v>5</v>
      </c>
      <c r="C667" t="s">
        <v>6</v>
      </c>
      <c r="E667" s="4">
        <v>78076</v>
      </c>
      <c r="F667" s="5">
        <v>3458913.12</v>
      </c>
      <c r="H667"/>
      <c r="J667" s="6">
        <v>68580</v>
      </c>
      <c r="K667" s="12">
        <v>1228640.6812176921</v>
      </c>
      <c r="M667">
        <f t="shared" si="20"/>
        <v>9496</v>
      </c>
      <c r="N667" s="13">
        <f t="shared" si="21"/>
        <v>0.36</v>
      </c>
      <c r="P667" s="14" t="s">
        <v>170</v>
      </c>
    </row>
    <row r="668" spans="1:16" x14ac:dyDescent="0.25">
      <c r="A668" s="1" t="s">
        <v>36</v>
      </c>
      <c r="B668" s="1" t="s">
        <v>10</v>
      </c>
      <c r="C668" t="s">
        <v>6</v>
      </c>
      <c r="E668" s="4">
        <v>56836</v>
      </c>
      <c r="F668" s="5">
        <v>615502.44999999995</v>
      </c>
      <c r="H668"/>
      <c r="J668" s="6">
        <v>56836</v>
      </c>
      <c r="K668" s="12">
        <v>605524.29918705963</v>
      </c>
      <c r="M668">
        <f t="shared" si="20"/>
        <v>0</v>
      </c>
      <c r="N668" s="13">
        <f t="shared" si="21"/>
        <v>0.98</v>
      </c>
      <c r="P668" s="14" t="s">
        <v>170</v>
      </c>
    </row>
    <row r="669" spans="1:16" x14ac:dyDescent="0.25">
      <c r="A669" s="1" t="s">
        <v>37</v>
      </c>
      <c r="B669" s="1" t="s">
        <v>38</v>
      </c>
      <c r="C669" t="s">
        <v>6</v>
      </c>
      <c r="E669" s="4">
        <v>48325</v>
      </c>
      <c r="F669" s="5">
        <v>67975.06</v>
      </c>
      <c r="H669"/>
      <c r="J669" s="6">
        <v>48325</v>
      </c>
      <c r="K669" s="12">
        <v>61969.24548195977</v>
      </c>
      <c r="M669">
        <f t="shared" si="20"/>
        <v>0</v>
      </c>
      <c r="N669" s="13">
        <f t="shared" si="21"/>
        <v>0.91</v>
      </c>
      <c r="P669" s="14" t="s">
        <v>170</v>
      </c>
    </row>
    <row r="670" spans="1:16" x14ac:dyDescent="0.25">
      <c r="A670" s="1" t="s">
        <v>39</v>
      </c>
      <c r="B670" s="1" t="s">
        <v>5</v>
      </c>
      <c r="C670" t="s">
        <v>6</v>
      </c>
      <c r="E670" s="4">
        <v>54742</v>
      </c>
      <c r="F670" s="5">
        <v>219575.1</v>
      </c>
      <c r="H670"/>
      <c r="J670" s="6">
        <v>54742</v>
      </c>
      <c r="K670" s="12">
        <v>214602.27026246791</v>
      </c>
      <c r="M670">
        <f t="shared" si="20"/>
        <v>0</v>
      </c>
      <c r="N670" s="13">
        <f t="shared" si="21"/>
        <v>0.98</v>
      </c>
      <c r="P670" s="14" t="s">
        <v>170</v>
      </c>
    </row>
    <row r="671" spans="1:16" x14ac:dyDescent="0.25">
      <c r="A671" s="1" t="s">
        <v>40</v>
      </c>
      <c r="B671" s="1" t="s">
        <v>10</v>
      </c>
      <c r="C671" t="s">
        <v>6</v>
      </c>
      <c r="E671" s="4">
        <v>56992</v>
      </c>
      <c r="F671" s="5">
        <v>333809.39</v>
      </c>
      <c r="H671"/>
      <c r="J671" s="6">
        <v>56992</v>
      </c>
      <c r="K671" s="12">
        <v>328500.12047365448</v>
      </c>
      <c r="M671">
        <f t="shared" si="20"/>
        <v>0</v>
      </c>
      <c r="N671" s="13">
        <f t="shared" si="21"/>
        <v>0.98</v>
      </c>
      <c r="P671" s="14" t="s">
        <v>170</v>
      </c>
    </row>
    <row r="672" spans="1:16" x14ac:dyDescent="0.25">
      <c r="A672" s="1" t="s">
        <v>41</v>
      </c>
      <c r="B672" s="1" t="s">
        <v>10</v>
      </c>
      <c r="C672" t="s">
        <v>6</v>
      </c>
      <c r="E672" s="4">
        <v>60748</v>
      </c>
      <c r="F672" s="5">
        <v>593862.12</v>
      </c>
      <c r="H672"/>
      <c r="J672" s="6">
        <v>60748</v>
      </c>
      <c r="K672" s="12">
        <v>556184.7302168418</v>
      </c>
      <c r="M672">
        <f t="shared" si="20"/>
        <v>0</v>
      </c>
      <c r="N672" s="13">
        <f t="shared" si="21"/>
        <v>0.94</v>
      </c>
      <c r="P672" s="14" t="s">
        <v>170</v>
      </c>
    </row>
    <row r="673" spans="1:16" x14ac:dyDescent="0.25">
      <c r="A673" s="1" t="s">
        <v>42</v>
      </c>
      <c r="B673" s="1" t="s">
        <v>10</v>
      </c>
      <c r="C673" t="s">
        <v>6</v>
      </c>
      <c r="E673" s="4">
        <v>60383</v>
      </c>
      <c r="F673" s="5">
        <v>483550.28</v>
      </c>
      <c r="H673"/>
      <c r="J673" s="6">
        <v>60383</v>
      </c>
      <c r="K673" s="12">
        <v>483550.27691034513</v>
      </c>
      <c r="M673">
        <f t="shared" si="20"/>
        <v>0</v>
      </c>
      <c r="N673" s="13">
        <f t="shared" si="21"/>
        <v>1</v>
      </c>
      <c r="P673" s="14" t="s">
        <v>819</v>
      </c>
    </row>
    <row r="674" spans="1:16" x14ac:dyDescent="0.25">
      <c r="A674" s="1" t="s">
        <v>43</v>
      </c>
      <c r="B674" s="1" t="s">
        <v>5</v>
      </c>
      <c r="C674" t="s">
        <v>6</v>
      </c>
      <c r="E674" s="4">
        <v>48758</v>
      </c>
      <c r="F674" s="5">
        <v>63161.91</v>
      </c>
      <c r="H674"/>
      <c r="J674" s="6">
        <v>48758</v>
      </c>
      <c r="K674" s="12">
        <v>58052.767496388558</v>
      </c>
      <c r="M674">
        <f t="shared" si="20"/>
        <v>0</v>
      </c>
      <c r="N674" s="13">
        <f t="shared" si="21"/>
        <v>0.92</v>
      </c>
      <c r="P674" t="s">
        <v>170</v>
      </c>
    </row>
    <row r="675" spans="1:16" x14ac:dyDescent="0.25">
      <c r="A675" s="1" t="s">
        <v>44</v>
      </c>
      <c r="B675" s="1" t="s">
        <v>5</v>
      </c>
      <c r="C675" t="s">
        <v>6</v>
      </c>
      <c r="E675" s="4">
        <v>78701</v>
      </c>
      <c r="F675" s="5">
        <v>3670352.74</v>
      </c>
      <c r="H675"/>
      <c r="J675" s="6">
        <v>69206</v>
      </c>
      <c r="K675" s="12">
        <v>1309539.0927291471</v>
      </c>
      <c r="M675">
        <f t="shared" si="20"/>
        <v>9495</v>
      </c>
      <c r="N675" s="13">
        <f t="shared" si="21"/>
        <v>0.36</v>
      </c>
      <c r="P675" t="s">
        <v>170</v>
      </c>
    </row>
    <row r="676" spans="1:16" x14ac:dyDescent="0.25">
      <c r="A676" s="1" t="s">
        <v>45</v>
      </c>
      <c r="B676" s="1" t="s">
        <v>5</v>
      </c>
      <c r="C676" t="s">
        <v>6</v>
      </c>
      <c r="E676" s="4">
        <v>48842</v>
      </c>
      <c r="F676" s="5">
        <v>77178.3</v>
      </c>
      <c r="H676"/>
      <c r="J676" s="6">
        <v>48842</v>
      </c>
      <c r="K676" s="12">
        <v>71592.845598659755</v>
      </c>
      <c r="M676">
        <f t="shared" si="20"/>
        <v>0</v>
      </c>
      <c r="N676" s="13">
        <f t="shared" si="21"/>
        <v>0.93</v>
      </c>
      <c r="P676" t="s">
        <v>170</v>
      </c>
    </row>
    <row r="677" spans="1:16" x14ac:dyDescent="0.25">
      <c r="A677" s="1" t="s">
        <v>46</v>
      </c>
      <c r="B677" s="1" t="s">
        <v>10</v>
      </c>
      <c r="C677" t="s">
        <v>6</v>
      </c>
      <c r="E677" s="4">
        <v>48023</v>
      </c>
      <c r="F677" s="5">
        <v>58802.63</v>
      </c>
      <c r="H677"/>
      <c r="J677" s="6">
        <v>48023</v>
      </c>
      <c r="K677" s="12">
        <v>53302.461626583143</v>
      </c>
      <c r="M677">
        <f t="shared" si="20"/>
        <v>0</v>
      </c>
      <c r="N677" s="13">
        <f t="shared" si="21"/>
        <v>0.91</v>
      </c>
      <c r="P677" t="s">
        <v>170</v>
      </c>
    </row>
    <row r="678" spans="1:16" x14ac:dyDescent="0.25">
      <c r="A678" s="1"/>
      <c r="B678" s="1"/>
      <c r="E678" s="4"/>
      <c r="F678" s="5"/>
      <c r="P678" s="14"/>
    </row>
    <row r="679" spans="1:16" x14ac:dyDescent="0.25">
      <c r="A679" s="1"/>
      <c r="B679" s="1"/>
      <c r="P679" s="14"/>
    </row>
    <row r="680" spans="1:16" x14ac:dyDescent="0.25">
      <c r="A680" s="1"/>
      <c r="B680" s="1"/>
      <c r="P680" s="14"/>
    </row>
    <row r="681" spans="1:16" x14ac:dyDescent="0.25">
      <c r="A681" s="1"/>
      <c r="B681" s="1"/>
      <c r="J681" s="10"/>
      <c r="P681" s="14"/>
    </row>
    <row r="682" spans="1:16" x14ac:dyDescent="0.25">
      <c r="A682" s="1"/>
      <c r="B682" s="1"/>
      <c r="P682" s="14"/>
    </row>
    <row r="683" spans="1:16" x14ac:dyDescent="0.25">
      <c r="A683" s="1"/>
      <c r="B683" s="1"/>
      <c r="P683" s="14"/>
    </row>
    <row r="684" spans="1:16" x14ac:dyDescent="0.25">
      <c r="A684" s="1"/>
      <c r="B684" s="1"/>
      <c r="P684" s="14"/>
    </row>
    <row r="685" spans="1:16" x14ac:dyDescent="0.25">
      <c r="A685" s="1"/>
      <c r="B685" s="1"/>
      <c r="P685" s="14"/>
    </row>
    <row r="686" spans="1:16" x14ac:dyDescent="0.25">
      <c r="A686" s="1"/>
      <c r="B686" s="1"/>
      <c r="P686" s="14"/>
    </row>
    <row r="687" spans="1:16" x14ac:dyDescent="0.25">
      <c r="A687" s="1"/>
      <c r="B687" s="1"/>
      <c r="P687" s="14"/>
    </row>
    <row r="688" spans="1:16" x14ac:dyDescent="0.25">
      <c r="A688" s="1"/>
      <c r="B688" s="1"/>
      <c r="P688" s="14"/>
    </row>
    <row r="689" spans="1:16" x14ac:dyDescent="0.25">
      <c r="A689" s="1"/>
      <c r="B689" s="1"/>
      <c r="P689" s="14"/>
    </row>
    <row r="690" spans="1:16" x14ac:dyDescent="0.25">
      <c r="A690" s="1"/>
      <c r="B690" s="1"/>
      <c r="P690" s="14"/>
    </row>
    <row r="691" spans="1:16" x14ac:dyDescent="0.25">
      <c r="A691" s="1"/>
      <c r="B691" s="1"/>
      <c r="P691" s="14"/>
    </row>
    <row r="692" spans="1:16" x14ac:dyDescent="0.25">
      <c r="A692" s="1"/>
      <c r="B692" s="1"/>
      <c r="J692" s="10"/>
      <c r="P692" s="14"/>
    </row>
    <row r="693" spans="1:16" x14ac:dyDescent="0.25">
      <c r="A693" s="1"/>
      <c r="B693" s="1"/>
      <c r="P693" s="14"/>
    </row>
    <row r="694" spans="1:16" x14ac:dyDescent="0.25">
      <c r="A694" s="1"/>
      <c r="B694" s="1"/>
      <c r="P694" s="14"/>
    </row>
    <row r="695" spans="1:16" x14ac:dyDescent="0.25">
      <c r="A695" s="1"/>
      <c r="B695" s="1"/>
      <c r="P695" s="14"/>
    </row>
    <row r="696" spans="1:16" x14ac:dyDescent="0.25">
      <c r="A696" s="1"/>
      <c r="B696" s="1"/>
      <c r="P696" s="14"/>
    </row>
    <row r="697" spans="1:16" x14ac:dyDescent="0.25">
      <c r="A697" s="1"/>
      <c r="B697" s="1"/>
      <c r="P697" s="14"/>
    </row>
    <row r="698" spans="1:16" x14ac:dyDescent="0.25">
      <c r="A698" s="1"/>
      <c r="B698" s="1"/>
      <c r="P698" s="14"/>
    </row>
    <row r="699" spans="1:16" x14ac:dyDescent="0.25">
      <c r="A699" s="1"/>
      <c r="B699" s="1"/>
      <c r="P699" s="14"/>
    </row>
    <row r="700" spans="1:16" x14ac:dyDescent="0.25">
      <c r="A700" s="1"/>
      <c r="B700" s="1"/>
      <c r="P700" s="14"/>
    </row>
    <row r="701" spans="1:16" x14ac:dyDescent="0.25">
      <c r="A701" s="1"/>
      <c r="B701" s="1"/>
    </row>
    <row r="702" spans="1:16" x14ac:dyDescent="0.25">
      <c r="A702" s="1"/>
      <c r="B702" s="1"/>
    </row>
    <row r="703" spans="1:16" x14ac:dyDescent="0.25">
      <c r="A703" s="1"/>
      <c r="B703" s="1"/>
    </row>
    <row r="704" spans="1:16" x14ac:dyDescent="0.25">
      <c r="A704" s="1"/>
      <c r="B704" s="1"/>
    </row>
    <row r="705" spans="1:2" x14ac:dyDescent="0.25">
      <c r="A705" s="1"/>
      <c r="B705" s="1"/>
    </row>
    <row r="706" spans="1:2" x14ac:dyDescent="0.25">
      <c r="A706" s="1"/>
      <c r="B706" s="1"/>
    </row>
    <row r="707" spans="1:2" x14ac:dyDescent="0.25">
      <c r="A707" s="1"/>
      <c r="B707" s="1"/>
    </row>
    <row r="708" spans="1:2" x14ac:dyDescent="0.25">
      <c r="A708" s="1"/>
      <c r="B708" s="1"/>
    </row>
    <row r="709" spans="1:2" x14ac:dyDescent="0.25">
      <c r="A709" s="1"/>
      <c r="B709" s="1"/>
    </row>
    <row r="710" spans="1:2" x14ac:dyDescent="0.25">
      <c r="A710" s="1"/>
      <c r="B710" s="1"/>
    </row>
    <row r="711" spans="1:2" x14ac:dyDescent="0.25">
      <c r="A711" s="1"/>
      <c r="B711" s="1"/>
    </row>
    <row r="712" spans="1:2" x14ac:dyDescent="0.25">
      <c r="A712" s="1"/>
      <c r="B712" s="1"/>
    </row>
    <row r="713" spans="1:2" x14ac:dyDescent="0.25">
      <c r="A713" s="1"/>
      <c r="B713" s="1"/>
    </row>
    <row r="714" spans="1:2" x14ac:dyDescent="0.25">
      <c r="A714" s="1"/>
      <c r="B714" s="1"/>
    </row>
    <row r="715" spans="1:2" x14ac:dyDescent="0.25">
      <c r="A715" s="1"/>
      <c r="B715" s="1"/>
    </row>
    <row r="716" spans="1:2" x14ac:dyDescent="0.25">
      <c r="A716" s="1"/>
      <c r="B716" s="1"/>
    </row>
    <row r="717" spans="1:2" x14ac:dyDescent="0.25">
      <c r="A717" s="1"/>
      <c r="B717" s="1"/>
    </row>
    <row r="718" spans="1:2" x14ac:dyDescent="0.25">
      <c r="A718" s="1"/>
      <c r="B718" s="1"/>
    </row>
    <row r="719" spans="1:2" x14ac:dyDescent="0.25">
      <c r="A719" s="1"/>
      <c r="B719" s="1"/>
    </row>
  </sheetData>
  <autoFilter ref="A1:Q677"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310EC-BBC1-411B-A738-6CA89F973BF2}">
  <sheetPr codeName="Sheet2"/>
  <dimension ref="G18:G288"/>
  <sheetViews>
    <sheetView workbookViewId="0">
      <selection activeCell="B23" sqref="B23"/>
    </sheetView>
  </sheetViews>
  <sheetFormatPr defaultRowHeight="15" x14ac:dyDescent="0.25"/>
  <cols>
    <col min="3" max="3" width="12" customWidth="1"/>
  </cols>
  <sheetData>
    <row r="18" spans="7:7" x14ac:dyDescent="0.25">
      <c r="G18" s="2"/>
    </row>
    <row r="19" spans="7:7" x14ac:dyDescent="0.25">
      <c r="G19" s="2"/>
    </row>
    <row r="20" spans="7:7" x14ac:dyDescent="0.25">
      <c r="G20" s="2"/>
    </row>
    <row r="21" spans="7:7" x14ac:dyDescent="0.25">
      <c r="G21" s="2"/>
    </row>
    <row r="22" spans="7:7" x14ac:dyDescent="0.25">
      <c r="G22" s="2"/>
    </row>
    <row r="23" spans="7:7" x14ac:dyDescent="0.25">
      <c r="G23" s="2"/>
    </row>
    <row r="24" spans="7:7" x14ac:dyDescent="0.25">
      <c r="G24" s="2"/>
    </row>
    <row r="25" spans="7:7" x14ac:dyDescent="0.25">
      <c r="G25" s="2"/>
    </row>
    <row r="26" spans="7:7" x14ac:dyDescent="0.25">
      <c r="G26" s="2"/>
    </row>
    <row r="27" spans="7:7" x14ac:dyDescent="0.25">
      <c r="G27" s="2"/>
    </row>
    <row r="28" spans="7:7" x14ac:dyDescent="0.25">
      <c r="G28" s="2"/>
    </row>
    <row r="29" spans="7:7" x14ac:dyDescent="0.25">
      <c r="G29" s="2"/>
    </row>
    <row r="30" spans="7:7" x14ac:dyDescent="0.25">
      <c r="G30" s="2"/>
    </row>
    <row r="31" spans="7:7" x14ac:dyDescent="0.25">
      <c r="G31" s="2"/>
    </row>
    <row r="32" spans="7:7" x14ac:dyDescent="0.25">
      <c r="G32" s="2"/>
    </row>
    <row r="33" spans="7:7" x14ac:dyDescent="0.25">
      <c r="G33" s="2"/>
    </row>
    <row r="34" spans="7:7" x14ac:dyDescent="0.25">
      <c r="G34" s="2"/>
    </row>
    <row r="35" spans="7:7" x14ac:dyDescent="0.25">
      <c r="G35" s="2"/>
    </row>
    <row r="36" spans="7:7" x14ac:dyDescent="0.25">
      <c r="G36" s="2"/>
    </row>
    <row r="37" spans="7:7" x14ac:dyDescent="0.25">
      <c r="G37" s="2"/>
    </row>
    <row r="38" spans="7:7" x14ac:dyDescent="0.25">
      <c r="G38" s="2"/>
    </row>
    <row r="39" spans="7:7" x14ac:dyDescent="0.25">
      <c r="G39" s="2"/>
    </row>
    <row r="40" spans="7:7" x14ac:dyDescent="0.25">
      <c r="G40" s="2"/>
    </row>
    <row r="41" spans="7:7" x14ac:dyDescent="0.25">
      <c r="G41" s="2"/>
    </row>
    <row r="42" spans="7:7" x14ac:dyDescent="0.25">
      <c r="G42" s="2"/>
    </row>
    <row r="43" spans="7:7" x14ac:dyDescent="0.25">
      <c r="G43" s="2"/>
    </row>
    <row r="44" spans="7:7" x14ac:dyDescent="0.25">
      <c r="G44" s="2"/>
    </row>
    <row r="45" spans="7:7" x14ac:dyDescent="0.25">
      <c r="G45" s="2"/>
    </row>
    <row r="46" spans="7:7" x14ac:dyDescent="0.25">
      <c r="G46" s="2"/>
    </row>
    <row r="47" spans="7:7" x14ac:dyDescent="0.25">
      <c r="G47" s="2"/>
    </row>
    <row r="48" spans="7:7" x14ac:dyDescent="0.25">
      <c r="G48" s="2"/>
    </row>
    <row r="49" spans="7:7" x14ac:dyDescent="0.25">
      <c r="G49" s="2"/>
    </row>
    <row r="50" spans="7:7" x14ac:dyDescent="0.25">
      <c r="G50" s="2"/>
    </row>
    <row r="51" spans="7:7" x14ac:dyDescent="0.25">
      <c r="G51" s="2"/>
    </row>
    <row r="52" spans="7:7" x14ac:dyDescent="0.25">
      <c r="G52" s="2"/>
    </row>
    <row r="53" spans="7:7" x14ac:dyDescent="0.25">
      <c r="G53" s="2"/>
    </row>
    <row r="54" spans="7:7" x14ac:dyDescent="0.25">
      <c r="G54" s="2"/>
    </row>
    <row r="55" spans="7:7" x14ac:dyDescent="0.25">
      <c r="G55" s="2"/>
    </row>
    <row r="56" spans="7:7" x14ac:dyDescent="0.25">
      <c r="G56" s="2"/>
    </row>
    <row r="57" spans="7:7" x14ac:dyDescent="0.25">
      <c r="G57" s="2"/>
    </row>
    <row r="58" spans="7:7" x14ac:dyDescent="0.25">
      <c r="G58" s="2"/>
    </row>
    <row r="59" spans="7:7" x14ac:dyDescent="0.25">
      <c r="G59" s="2"/>
    </row>
    <row r="60" spans="7:7" x14ac:dyDescent="0.25">
      <c r="G60" s="2"/>
    </row>
    <row r="61" spans="7:7" x14ac:dyDescent="0.25">
      <c r="G61" s="2"/>
    </row>
    <row r="62" spans="7:7" x14ac:dyDescent="0.25">
      <c r="G62" s="2"/>
    </row>
    <row r="63" spans="7:7" x14ac:dyDescent="0.25">
      <c r="G63" s="2"/>
    </row>
    <row r="64" spans="7:7" x14ac:dyDescent="0.25">
      <c r="G64" s="2"/>
    </row>
    <row r="65" spans="7:7" x14ac:dyDescent="0.25">
      <c r="G65" s="2"/>
    </row>
    <row r="66" spans="7:7" x14ac:dyDescent="0.25">
      <c r="G66" s="2"/>
    </row>
    <row r="67" spans="7:7" x14ac:dyDescent="0.25">
      <c r="G67" s="2"/>
    </row>
    <row r="68" spans="7:7" x14ac:dyDescent="0.25">
      <c r="G68" s="2"/>
    </row>
    <row r="69" spans="7:7" x14ac:dyDescent="0.25">
      <c r="G69" s="2"/>
    </row>
    <row r="70" spans="7:7" x14ac:dyDescent="0.25">
      <c r="G70" s="2"/>
    </row>
    <row r="71" spans="7:7" x14ac:dyDescent="0.25">
      <c r="G71" s="2"/>
    </row>
    <row r="72" spans="7:7" x14ac:dyDescent="0.25">
      <c r="G72" s="2"/>
    </row>
    <row r="73" spans="7:7" x14ac:dyDescent="0.25">
      <c r="G73" s="2"/>
    </row>
    <row r="74" spans="7:7" x14ac:dyDescent="0.25">
      <c r="G74" s="2"/>
    </row>
    <row r="75" spans="7:7" x14ac:dyDescent="0.25">
      <c r="G75" s="2"/>
    </row>
    <row r="76" spans="7:7" x14ac:dyDescent="0.25">
      <c r="G76" s="2"/>
    </row>
    <row r="77" spans="7:7" x14ac:dyDescent="0.25">
      <c r="G77" s="2"/>
    </row>
    <row r="78" spans="7:7" x14ac:dyDescent="0.25">
      <c r="G78" s="2"/>
    </row>
    <row r="79" spans="7:7" x14ac:dyDescent="0.25">
      <c r="G79" s="2"/>
    </row>
    <row r="80" spans="7:7" x14ac:dyDescent="0.25">
      <c r="G80" s="2"/>
    </row>
    <row r="81" spans="7:7" x14ac:dyDescent="0.25">
      <c r="G81" s="2"/>
    </row>
    <row r="82" spans="7:7" x14ac:dyDescent="0.25">
      <c r="G82" s="2"/>
    </row>
    <row r="83" spans="7:7" x14ac:dyDescent="0.25">
      <c r="G83" s="2"/>
    </row>
    <row r="84" spans="7:7" x14ac:dyDescent="0.25">
      <c r="G84" s="2"/>
    </row>
    <row r="85" spans="7:7" x14ac:dyDescent="0.25">
      <c r="G85" s="2"/>
    </row>
    <row r="86" spans="7:7" x14ac:dyDescent="0.25">
      <c r="G86" s="2"/>
    </row>
    <row r="87" spans="7:7" x14ac:dyDescent="0.25">
      <c r="G87" s="2"/>
    </row>
    <row r="88" spans="7:7" x14ac:dyDescent="0.25">
      <c r="G88" s="2"/>
    </row>
    <row r="89" spans="7:7" x14ac:dyDescent="0.25">
      <c r="G89" s="2"/>
    </row>
    <row r="90" spans="7:7" x14ac:dyDescent="0.25">
      <c r="G90" s="2"/>
    </row>
    <row r="91" spans="7:7" x14ac:dyDescent="0.25">
      <c r="G91" s="2"/>
    </row>
    <row r="92" spans="7:7" x14ac:dyDescent="0.25">
      <c r="G92" s="2"/>
    </row>
    <row r="93" spans="7:7" x14ac:dyDescent="0.25">
      <c r="G93" s="2"/>
    </row>
    <row r="94" spans="7:7" x14ac:dyDescent="0.25">
      <c r="G94" s="2"/>
    </row>
    <row r="95" spans="7:7" x14ac:dyDescent="0.25">
      <c r="G95" s="2"/>
    </row>
    <row r="96" spans="7:7" x14ac:dyDescent="0.25">
      <c r="G96" s="2"/>
    </row>
    <row r="97" spans="7:7" x14ac:dyDescent="0.25">
      <c r="G97" s="2"/>
    </row>
    <row r="98" spans="7:7" x14ac:dyDescent="0.25">
      <c r="G98" s="2"/>
    </row>
    <row r="99" spans="7:7" x14ac:dyDescent="0.25">
      <c r="G99" s="2"/>
    </row>
    <row r="100" spans="7:7" x14ac:dyDescent="0.25">
      <c r="G100" s="2"/>
    </row>
    <row r="101" spans="7:7" x14ac:dyDescent="0.25">
      <c r="G101" s="2"/>
    </row>
    <row r="102" spans="7:7" x14ac:dyDescent="0.25">
      <c r="G102" s="2"/>
    </row>
    <row r="103" spans="7:7" x14ac:dyDescent="0.25">
      <c r="G103" s="2"/>
    </row>
    <row r="104" spans="7:7" x14ac:dyDescent="0.25">
      <c r="G104" s="2"/>
    </row>
    <row r="105" spans="7:7" x14ac:dyDescent="0.25">
      <c r="G105" s="2"/>
    </row>
    <row r="106" spans="7:7" x14ac:dyDescent="0.25">
      <c r="G106" s="2"/>
    </row>
    <row r="107" spans="7:7" x14ac:dyDescent="0.25">
      <c r="G107" s="2"/>
    </row>
    <row r="108" spans="7:7" x14ac:dyDescent="0.25">
      <c r="G108" s="2"/>
    </row>
    <row r="109" spans="7:7" x14ac:dyDescent="0.25">
      <c r="G109" s="2"/>
    </row>
    <row r="110" spans="7:7" x14ac:dyDescent="0.25">
      <c r="G110" s="2"/>
    </row>
    <row r="111" spans="7:7" x14ac:dyDescent="0.25">
      <c r="G111" s="2"/>
    </row>
    <row r="112" spans="7:7" x14ac:dyDescent="0.25">
      <c r="G112" s="2"/>
    </row>
    <row r="113" spans="7:7" x14ac:dyDescent="0.25">
      <c r="G113" s="2"/>
    </row>
    <row r="114" spans="7:7" x14ac:dyDescent="0.25">
      <c r="G114" s="2"/>
    </row>
    <row r="115" spans="7:7" x14ac:dyDescent="0.25">
      <c r="G115" s="2"/>
    </row>
    <row r="116" spans="7:7" x14ac:dyDescent="0.25">
      <c r="G116" s="2"/>
    </row>
    <row r="117" spans="7:7" x14ac:dyDescent="0.25">
      <c r="G117" s="2"/>
    </row>
    <row r="118" spans="7:7" x14ac:dyDescent="0.25">
      <c r="G118" s="2"/>
    </row>
    <row r="119" spans="7:7" x14ac:dyDescent="0.25">
      <c r="G119" s="2"/>
    </row>
    <row r="120" spans="7:7" x14ac:dyDescent="0.25">
      <c r="G120" s="2"/>
    </row>
    <row r="121" spans="7:7" x14ac:dyDescent="0.25">
      <c r="G121" s="2"/>
    </row>
    <row r="122" spans="7:7" x14ac:dyDescent="0.25">
      <c r="G122" s="2"/>
    </row>
    <row r="123" spans="7:7" x14ac:dyDescent="0.25">
      <c r="G123" s="2"/>
    </row>
    <row r="124" spans="7:7" x14ac:dyDescent="0.25">
      <c r="G124" s="2"/>
    </row>
    <row r="125" spans="7:7" x14ac:dyDescent="0.25">
      <c r="G125" s="2"/>
    </row>
    <row r="126" spans="7:7" x14ac:dyDescent="0.25">
      <c r="G126" s="2"/>
    </row>
    <row r="127" spans="7:7" x14ac:dyDescent="0.25">
      <c r="G127" s="2"/>
    </row>
    <row r="128" spans="7:7" x14ac:dyDescent="0.25">
      <c r="G128" s="2"/>
    </row>
    <row r="129" spans="7:7" x14ac:dyDescent="0.25">
      <c r="G129" s="2"/>
    </row>
    <row r="130" spans="7:7" x14ac:dyDescent="0.25">
      <c r="G130" s="2"/>
    </row>
    <row r="131" spans="7:7" x14ac:dyDescent="0.25">
      <c r="G131" s="2"/>
    </row>
    <row r="132" spans="7:7" x14ac:dyDescent="0.25">
      <c r="G132" s="2"/>
    </row>
    <row r="133" spans="7:7" x14ac:dyDescent="0.25">
      <c r="G133" s="2"/>
    </row>
    <row r="134" spans="7:7" x14ac:dyDescent="0.25">
      <c r="G134" s="2"/>
    </row>
    <row r="135" spans="7:7" x14ac:dyDescent="0.25">
      <c r="G135" s="2"/>
    </row>
    <row r="136" spans="7:7" x14ac:dyDescent="0.25">
      <c r="G136" s="2"/>
    </row>
    <row r="137" spans="7:7" x14ac:dyDescent="0.25">
      <c r="G137" s="2"/>
    </row>
    <row r="138" spans="7:7" x14ac:dyDescent="0.25">
      <c r="G138" s="2"/>
    </row>
    <row r="139" spans="7:7" x14ac:dyDescent="0.25">
      <c r="G139" s="2"/>
    </row>
    <row r="140" spans="7:7" x14ac:dyDescent="0.25">
      <c r="G140" s="2"/>
    </row>
    <row r="141" spans="7:7" x14ac:dyDescent="0.25">
      <c r="G141" s="2"/>
    </row>
    <row r="142" spans="7:7" x14ac:dyDescent="0.25">
      <c r="G142" s="2"/>
    </row>
    <row r="143" spans="7:7" x14ac:dyDescent="0.25">
      <c r="G143" s="2"/>
    </row>
    <row r="144" spans="7:7" x14ac:dyDescent="0.25">
      <c r="G144" s="2"/>
    </row>
    <row r="145" spans="7:7" x14ac:dyDescent="0.25">
      <c r="G145" s="2"/>
    </row>
    <row r="146" spans="7:7" x14ac:dyDescent="0.25">
      <c r="G146" s="2"/>
    </row>
    <row r="147" spans="7:7" x14ac:dyDescent="0.25">
      <c r="G147" s="2"/>
    </row>
    <row r="148" spans="7:7" x14ac:dyDescent="0.25">
      <c r="G148" s="2"/>
    </row>
    <row r="149" spans="7:7" x14ac:dyDescent="0.25">
      <c r="G149" s="2"/>
    </row>
    <row r="150" spans="7:7" x14ac:dyDescent="0.25">
      <c r="G150" s="2"/>
    </row>
    <row r="151" spans="7:7" x14ac:dyDescent="0.25">
      <c r="G151" s="2"/>
    </row>
    <row r="152" spans="7:7" x14ac:dyDescent="0.25">
      <c r="G152" s="2"/>
    </row>
    <row r="153" spans="7:7" x14ac:dyDescent="0.25">
      <c r="G153" s="2"/>
    </row>
    <row r="154" spans="7:7" x14ac:dyDescent="0.25">
      <c r="G154" s="2"/>
    </row>
    <row r="155" spans="7:7" x14ac:dyDescent="0.25">
      <c r="G155" s="2"/>
    </row>
    <row r="156" spans="7:7" x14ac:dyDescent="0.25">
      <c r="G156" s="2"/>
    </row>
    <row r="157" spans="7:7" x14ac:dyDescent="0.25">
      <c r="G157" s="2"/>
    </row>
    <row r="158" spans="7:7" x14ac:dyDescent="0.25">
      <c r="G158" s="2"/>
    </row>
    <row r="159" spans="7:7" x14ac:dyDescent="0.25">
      <c r="G159" s="2"/>
    </row>
    <row r="160" spans="7:7" x14ac:dyDescent="0.25">
      <c r="G160" s="2"/>
    </row>
    <row r="161" spans="7:7" x14ac:dyDescent="0.25">
      <c r="G161" s="2"/>
    </row>
    <row r="162" spans="7:7" x14ac:dyDescent="0.25">
      <c r="G162" s="2"/>
    </row>
    <row r="163" spans="7:7" x14ac:dyDescent="0.25">
      <c r="G163" s="2"/>
    </row>
    <row r="164" spans="7:7" x14ac:dyDescent="0.25">
      <c r="G164" s="2"/>
    </row>
    <row r="165" spans="7:7" x14ac:dyDescent="0.25">
      <c r="G165" s="2"/>
    </row>
    <row r="166" spans="7:7" x14ac:dyDescent="0.25">
      <c r="G166" s="2"/>
    </row>
    <row r="167" spans="7:7" x14ac:dyDescent="0.25">
      <c r="G167" s="2"/>
    </row>
    <row r="168" spans="7:7" x14ac:dyDescent="0.25">
      <c r="G168" s="2"/>
    </row>
    <row r="169" spans="7:7" x14ac:dyDescent="0.25">
      <c r="G169" s="2"/>
    </row>
    <row r="170" spans="7:7" x14ac:dyDescent="0.25">
      <c r="G170" s="2"/>
    </row>
    <row r="171" spans="7:7" x14ac:dyDescent="0.25">
      <c r="G171" s="2"/>
    </row>
    <row r="172" spans="7:7" x14ac:dyDescent="0.25">
      <c r="G172" s="2"/>
    </row>
    <row r="173" spans="7:7" x14ac:dyDescent="0.25">
      <c r="G173" s="2"/>
    </row>
    <row r="174" spans="7:7" x14ac:dyDescent="0.25">
      <c r="G174" s="2"/>
    </row>
    <row r="175" spans="7:7" x14ac:dyDescent="0.25">
      <c r="G175" s="2"/>
    </row>
    <row r="176" spans="7:7" x14ac:dyDescent="0.25">
      <c r="G176" s="2"/>
    </row>
    <row r="177" spans="7:7" x14ac:dyDescent="0.25">
      <c r="G177" s="2"/>
    </row>
    <row r="178" spans="7:7" x14ac:dyDescent="0.25">
      <c r="G178" s="2"/>
    </row>
    <row r="179" spans="7:7" x14ac:dyDescent="0.25">
      <c r="G179" s="2"/>
    </row>
    <row r="180" spans="7:7" x14ac:dyDescent="0.25">
      <c r="G180" s="2"/>
    </row>
    <row r="181" spans="7:7" x14ac:dyDescent="0.25">
      <c r="G181" s="2"/>
    </row>
    <row r="182" spans="7:7" x14ac:dyDescent="0.25">
      <c r="G182" s="2"/>
    </row>
    <row r="183" spans="7:7" x14ac:dyDescent="0.25">
      <c r="G183" s="2"/>
    </row>
    <row r="184" spans="7:7" x14ac:dyDescent="0.25">
      <c r="G184" s="2"/>
    </row>
    <row r="185" spans="7:7" x14ac:dyDescent="0.25">
      <c r="G185" s="2"/>
    </row>
    <row r="186" spans="7:7" x14ac:dyDescent="0.25">
      <c r="G186" s="2"/>
    </row>
    <row r="187" spans="7:7" x14ac:dyDescent="0.25">
      <c r="G187" s="2"/>
    </row>
    <row r="188" spans="7:7" x14ac:dyDescent="0.25">
      <c r="G188" s="2"/>
    </row>
    <row r="189" spans="7:7" x14ac:dyDescent="0.25">
      <c r="G189" s="2"/>
    </row>
    <row r="190" spans="7:7" x14ac:dyDescent="0.25">
      <c r="G190" s="2"/>
    </row>
    <row r="191" spans="7:7" x14ac:dyDescent="0.25">
      <c r="G191" s="2"/>
    </row>
    <row r="192" spans="7:7" x14ac:dyDescent="0.25">
      <c r="G192" s="2"/>
    </row>
    <row r="193" spans="7:7" x14ac:dyDescent="0.25">
      <c r="G193" s="2"/>
    </row>
    <row r="194" spans="7:7" x14ac:dyDescent="0.25">
      <c r="G194" s="2"/>
    </row>
    <row r="195" spans="7:7" x14ac:dyDescent="0.25">
      <c r="G195" s="2"/>
    </row>
    <row r="196" spans="7:7" x14ac:dyDescent="0.25">
      <c r="G196" s="2"/>
    </row>
    <row r="197" spans="7:7" x14ac:dyDescent="0.25">
      <c r="G197" s="2"/>
    </row>
    <row r="198" spans="7:7" x14ac:dyDescent="0.25">
      <c r="G198" s="2"/>
    </row>
    <row r="199" spans="7:7" x14ac:dyDescent="0.25">
      <c r="G199" s="2"/>
    </row>
    <row r="200" spans="7:7" x14ac:dyDescent="0.25">
      <c r="G200" s="2"/>
    </row>
    <row r="201" spans="7:7" x14ac:dyDescent="0.25">
      <c r="G201" s="2"/>
    </row>
    <row r="202" spans="7:7" x14ac:dyDescent="0.25">
      <c r="G202" s="2"/>
    </row>
    <row r="203" spans="7:7" x14ac:dyDescent="0.25">
      <c r="G203" s="2"/>
    </row>
    <row r="204" spans="7:7" x14ac:dyDescent="0.25">
      <c r="G204" s="2"/>
    </row>
    <row r="205" spans="7:7" x14ac:dyDescent="0.25">
      <c r="G205" s="2"/>
    </row>
    <row r="206" spans="7:7" x14ac:dyDescent="0.25">
      <c r="G206" s="2"/>
    </row>
    <row r="207" spans="7:7" x14ac:dyDescent="0.25">
      <c r="G207" s="2"/>
    </row>
    <row r="208" spans="7:7" x14ac:dyDescent="0.25">
      <c r="G208" s="2"/>
    </row>
    <row r="209" spans="7:7" x14ac:dyDescent="0.25">
      <c r="G209" s="2"/>
    </row>
    <row r="210" spans="7:7" x14ac:dyDescent="0.25">
      <c r="G210" s="2"/>
    </row>
    <row r="211" spans="7:7" x14ac:dyDescent="0.25">
      <c r="G211" s="2"/>
    </row>
    <row r="212" spans="7:7" x14ac:dyDescent="0.25">
      <c r="G212" s="2"/>
    </row>
    <row r="213" spans="7:7" x14ac:dyDescent="0.25">
      <c r="G213" s="2"/>
    </row>
    <row r="214" spans="7:7" x14ac:dyDescent="0.25">
      <c r="G214" s="2"/>
    </row>
    <row r="215" spans="7:7" x14ac:dyDescent="0.25">
      <c r="G215" s="2"/>
    </row>
    <row r="216" spans="7:7" x14ac:dyDescent="0.25">
      <c r="G216" s="2"/>
    </row>
    <row r="217" spans="7:7" x14ac:dyDescent="0.25">
      <c r="G217" s="2"/>
    </row>
    <row r="218" spans="7:7" x14ac:dyDescent="0.25">
      <c r="G218" s="2"/>
    </row>
    <row r="219" spans="7:7" x14ac:dyDescent="0.25">
      <c r="G219" s="2"/>
    </row>
    <row r="220" spans="7:7" x14ac:dyDescent="0.25">
      <c r="G220" s="2"/>
    </row>
    <row r="221" spans="7:7" x14ac:dyDescent="0.25">
      <c r="G221" s="2"/>
    </row>
    <row r="222" spans="7:7" x14ac:dyDescent="0.25">
      <c r="G222" s="2"/>
    </row>
    <row r="223" spans="7:7" x14ac:dyDescent="0.25">
      <c r="G223" s="2"/>
    </row>
    <row r="224" spans="7:7" x14ac:dyDescent="0.25">
      <c r="G224" s="2"/>
    </row>
    <row r="225" spans="7:7" x14ac:dyDescent="0.25">
      <c r="G225" s="2"/>
    </row>
    <row r="226" spans="7:7" x14ac:dyDescent="0.25">
      <c r="G226" s="2"/>
    </row>
    <row r="227" spans="7:7" x14ac:dyDescent="0.25">
      <c r="G227" s="2"/>
    </row>
    <row r="228" spans="7:7" x14ac:dyDescent="0.25">
      <c r="G228" s="2"/>
    </row>
    <row r="229" spans="7:7" x14ac:dyDescent="0.25">
      <c r="G229" s="2"/>
    </row>
    <row r="230" spans="7:7" x14ac:dyDescent="0.25">
      <c r="G230" s="2"/>
    </row>
    <row r="231" spans="7:7" x14ac:dyDescent="0.25">
      <c r="G231" s="2"/>
    </row>
    <row r="232" spans="7:7" x14ac:dyDescent="0.25">
      <c r="G232" s="2"/>
    </row>
    <row r="233" spans="7:7" x14ac:dyDescent="0.25">
      <c r="G233" s="2"/>
    </row>
    <row r="234" spans="7:7" x14ac:dyDescent="0.25">
      <c r="G234" s="2"/>
    </row>
    <row r="235" spans="7:7" x14ac:dyDescent="0.25">
      <c r="G235" s="2"/>
    </row>
    <row r="236" spans="7:7" x14ac:dyDescent="0.25">
      <c r="G236" s="2"/>
    </row>
    <row r="237" spans="7:7" x14ac:dyDescent="0.25">
      <c r="G237" s="2"/>
    </row>
    <row r="238" spans="7:7" x14ac:dyDescent="0.25">
      <c r="G238" s="2"/>
    </row>
    <row r="239" spans="7:7" x14ac:dyDescent="0.25">
      <c r="G239" s="2"/>
    </row>
    <row r="240" spans="7:7" x14ac:dyDescent="0.25">
      <c r="G240" s="2"/>
    </row>
    <row r="241" spans="7:7" x14ac:dyDescent="0.25">
      <c r="G241" s="2"/>
    </row>
    <row r="242" spans="7:7" x14ac:dyDescent="0.25">
      <c r="G242" s="2"/>
    </row>
    <row r="243" spans="7:7" x14ac:dyDescent="0.25">
      <c r="G243" s="2"/>
    </row>
    <row r="244" spans="7:7" x14ac:dyDescent="0.25">
      <c r="G244" s="2"/>
    </row>
    <row r="245" spans="7:7" x14ac:dyDescent="0.25">
      <c r="G245" s="2"/>
    </row>
    <row r="246" spans="7:7" x14ac:dyDescent="0.25">
      <c r="G246" s="2"/>
    </row>
    <row r="247" spans="7:7" x14ac:dyDescent="0.25">
      <c r="G247" s="2"/>
    </row>
    <row r="248" spans="7:7" x14ac:dyDescent="0.25">
      <c r="G248" s="2"/>
    </row>
    <row r="249" spans="7:7" x14ac:dyDescent="0.25">
      <c r="G249" s="2"/>
    </row>
    <row r="250" spans="7:7" x14ac:dyDescent="0.25">
      <c r="G250" s="2"/>
    </row>
    <row r="251" spans="7:7" x14ac:dyDescent="0.25">
      <c r="G251" s="2"/>
    </row>
    <row r="252" spans="7:7" x14ac:dyDescent="0.25">
      <c r="G252" s="2"/>
    </row>
    <row r="253" spans="7:7" x14ac:dyDescent="0.25">
      <c r="G253" s="2"/>
    </row>
    <row r="254" spans="7:7" x14ac:dyDescent="0.25">
      <c r="G254" s="2"/>
    </row>
    <row r="255" spans="7:7" x14ac:dyDescent="0.25">
      <c r="G255" s="2"/>
    </row>
    <row r="256" spans="7:7" x14ac:dyDescent="0.25">
      <c r="G256" s="2"/>
    </row>
    <row r="257" spans="7:7" x14ac:dyDescent="0.25">
      <c r="G257" s="2"/>
    </row>
    <row r="258" spans="7:7" x14ac:dyDescent="0.25">
      <c r="G258" s="2"/>
    </row>
    <row r="259" spans="7:7" x14ac:dyDescent="0.25">
      <c r="G259" s="2"/>
    </row>
    <row r="260" spans="7:7" x14ac:dyDescent="0.25">
      <c r="G260" s="2"/>
    </row>
    <row r="261" spans="7:7" x14ac:dyDescent="0.25">
      <c r="G261" s="2"/>
    </row>
    <row r="262" spans="7:7" x14ac:dyDescent="0.25">
      <c r="G262" s="2"/>
    </row>
    <row r="263" spans="7:7" x14ac:dyDescent="0.25">
      <c r="G263" s="2"/>
    </row>
    <row r="264" spans="7:7" x14ac:dyDescent="0.25">
      <c r="G264" s="2"/>
    </row>
    <row r="265" spans="7:7" x14ac:dyDescent="0.25">
      <c r="G265" s="2"/>
    </row>
    <row r="266" spans="7:7" x14ac:dyDescent="0.25">
      <c r="G266" s="2"/>
    </row>
    <row r="267" spans="7:7" x14ac:dyDescent="0.25">
      <c r="G267" s="2"/>
    </row>
    <row r="268" spans="7:7" x14ac:dyDescent="0.25">
      <c r="G268" s="2"/>
    </row>
    <row r="269" spans="7:7" x14ac:dyDescent="0.25">
      <c r="G269" s="2"/>
    </row>
    <row r="270" spans="7:7" x14ac:dyDescent="0.25">
      <c r="G270" s="2"/>
    </row>
    <row r="271" spans="7:7" x14ac:dyDescent="0.25">
      <c r="G271" s="2"/>
    </row>
    <row r="272" spans="7:7" x14ac:dyDescent="0.25">
      <c r="G272" s="2"/>
    </row>
    <row r="273" spans="7:7" x14ac:dyDescent="0.25">
      <c r="G273" s="2"/>
    </row>
    <row r="274" spans="7:7" x14ac:dyDescent="0.25">
      <c r="G274" s="2"/>
    </row>
    <row r="275" spans="7:7" x14ac:dyDescent="0.25">
      <c r="G275" s="2"/>
    </row>
    <row r="276" spans="7:7" x14ac:dyDescent="0.25">
      <c r="G276" s="2"/>
    </row>
    <row r="277" spans="7:7" x14ac:dyDescent="0.25">
      <c r="G277" s="2"/>
    </row>
    <row r="278" spans="7:7" x14ac:dyDescent="0.25">
      <c r="G278" s="2"/>
    </row>
    <row r="279" spans="7:7" x14ac:dyDescent="0.25">
      <c r="G279" s="2"/>
    </row>
    <row r="280" spans="7:7" x14ac:dyDescent="0.25">
      <c r="G280" s="2"/>
    </row>
    <row r="281" spans="7:7" x14ac:dyDescent="0.25">
      <c r="G281" s="2"/>
    </row>
    <row r="282" spans="7:7" x14ac:dyDescent="0.25">
      <c r="G282" s="2"/>
    </row>
    <row r="283" spans="7:7" x14ac:dyDescent="0.25">
      <c r="G283" s="2"/>
    </row>
    <row r="284" spans="7:7" x14ac:dyDescent="0.25">
      <c r="G284" s="2"/>
    </row>
    <row r="285" spans="7:7" x14ac:dyDescent="0.25">
      <c r="G285" s="2"/>
    </row>
    <row r="286" spans="7:7" x14ac:dyDescent="0.25">
      <c r="G286" s="2"/>
    </row>
    <row r="287" spans="7:7" x14ac:dyDescent="0.25">
      <c r="G287" s="2"/>
    </row>
    <row r="288" spans="7:7" x14ac:dyDescent="0.25">
      <c r="G28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Haessly, Robert</dc:creator>
  <cp:lastModifiedBy>Haessly, Robert</cp:lastModifiedBy>
  <dcterms:created xsi:type="dcterms:W3CDTF">2026-06-17T00:29:03Z</dcterms:created>
  <dcterms:modified xsi:type="dcterms:W3CDTF">2026-06-21T16:50:47Z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0x0101009739AD4FDE7C8C4CA1D88DFA921C1CB0</vt:lpwstr>
  </property>
  <property fmtid="{D5CDD505-2E9C-101B-9397-08002B2CF9AE}" pid="3" name="MediaServiceImageTags">
    <vt:lpwstr/>
  </property>
</Properties>
</file>